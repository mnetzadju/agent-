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21225" windowHeight="12510" activeTab="1"/>
  </bookViews>
  <sheets>
    <sheet name="DASHBOARD" sheetId="1" r:id="rId1"/>
    <sheet name="PARTS_MASTER" sheetId="2" r:id="rId2"/>
    <sheet name="BOM_STRUCTURE" sheetId="3" r:id="rId3"/>
  </sheets>
  <calcPr calcId="152511"/>
</workbook>
</file>

<file path=xl/calcChain.xml><?xml version="1.0" encoding="utf-8"?>
<calcChain xmlns="http://schemas.openxmlformats.org/spreadsheetml/2006/main">
  <c r="G7" i="3" l="1"/>
  <c r="F7" i="3"/>
  <c r="G6" i="3"/>
  <c r="F6" i="3"/>
  <c r="G5" i="3"/>
  <c r="F5" i="3"/>
  <c r="G4" i="3"/>
  <c r="F4" i="3"/>
  <c r="G3" i="3"/>
  <c r="F3" i="3"/>
  <c r="G2" i="3"/>
  <c r="F2" i="3"/>
  <c r="C5" i="1"/>
  <c r="C4" i="1" l="1"/>
</calcChain>
</file>

<file path=xl/sharedStrings.xml><?xml version="1.0" encoding="utf-8"?>
<sst xmlns="http://schemas.openxmlformats.org/spreadsheetml/2006/main" count="30" uniqueCount="24">
  <si>
    <t>PROJECT BOM DASHBOARD</t>
  </si>
  <si>
    <t>TOTAL PROJECT COST:</t>
  </si>
  <si>
    <t>TOTAL PARTS COUNT:</t>
  </si>
  <si>
    <t>Part_ID</t>
  </si>
  <si>
    <t>Description</t>
  </si>
  <si>
    <t>Unit_Cost</t>
  </si>
  <si>
    <t>Lead_Time_Days</t>
  </si>
  <si>
    <t>P-101</t>
  </si>
  <si>
    <t>High-Speed Processor</t>
  </si>
  <si>
    <t>P-102</t>
  </si>
  <si>
    <t>16GB DDR4 RAM</t>
  </si>
  <si>
    <t>P-103</t>
  </si>
  <si>
    <t>512GB NVMe SSD</t>
  </si>
  <si>
    <t>P-104</t>
  </si>
  <si>
    <t>650W Gold PSU</t>
  </si>
  <si>
    <t>P-105</t>
  </si>
  <si>
    <t>ATX Mesh Case</t>
  </si>
  <si>
    <t>Level</t>
  </si>
  <si>
    <t>Qty</t>
  </si>
  <si>
    <t>Stock_on_Hand</t>
  </si>
  <si>
    <t>Unit_Cost (LINKED)</t>
  </si>
  <si>
    <t>Extended_Cost</t>
  </si>
  <si>
    <t>Shortage_Alert</t>
  </si>
  <si>
    <t>SYS-PRO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</si>
</sst>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zoomScale="160" zoomScaleNormal="160" workbookViewId="0">
      <selection activeCell="C5" sqref="C5"/>
    </sheetView>
  </sheetViews>
  <sheetFormatPr defaultRowHeight="15" x14ac:dyDescent="0.25"/>
  <cols>
    <col min="1" max="3" width="25" customWidth="1"/>
  </cols>
  <sheetData>
    <row r="2" spans="2:3" ht="21" x14ac:dyDescent="0.35">
      <c r="B2" s="1" t="s">
        <v>0</v>
      </c>
    </row>
    <row r="4" spans="2:3" x14ac:dyDescent="0.25">
      <c r="B4" t="s">
        <v>1</v>
      </c>
      <c r="C4" s="2">
        <f>SUM(BOM_STRUCTURE!F2:F20)</f>
        <v>0</v>
      </c>
    </row>
    <row r="5" spans="2:3" x14ac:dyDescent="0.25">
      <c r="B5" t="s">
        <v>2</v>
      </c>
      <c r="C5">
        <f>COUNTA(BOM_STRUCTURE!B2:B20)-1</f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160" zoomScaleNormal="160" workbookViewId="0">
      <selection activeCell="C5" sqref="C5"/>
    </sheetView>
  </sheetViews>
  <sheetFormatPr defaultRowHeight="15" x14ac:dyDescent="0.25"/>
  <cols>
    <col min="1" max="4" width="25" customWidth="1"/>
  </cols>
  <sheetData>
    <row r="1" spans="1:4" x14ac:dyDescent="0.25">
      <c r="A1" s="3" t="s">
        <v>3</v>
      </c>
      <c r="B1" s="3" t="s">
        <v>4</v>
      </c>
      <c r="C1" s="3" t="s">
        <v>5</v>
      </c>
      <c r="D1" s="3" t="s">
        <v>6</v>
      </c>
    </row>
    <row r="2" spans="1:4" x14ac:dyDescent="0.25">
      <c r="A2" t="s">
        <v>7</v>
      </c>
      <c r="B2" t="s">
        <v>8</v>
      </c>
      <c r="C2">
        <v>390</v>
      </c>
      <c r="D2">
        <v>45</v>
      </c>
    </row>
    <row r="3" spans="1:4" x14ac:dyDescent="0.25">
      <c r="A3" t="s">
        <v>9</v>
      </c>
      <c r="B3" t="s">
        <v>10</v>
      </c>
      <c r="C3">
        <v>1000</v>
      </c>
      <c r="D3">
        <v>10</v>
      </c>
    </row>
    <row r="4" spans="1:4" x14ac:dyDescent="0.25">
      <c r="A4" t="s">
        <v>11</v>
      </c>
      <c r="B4" t="s">
        <v>12</v>
      </c>
      <c r="C4">
        <v>3600</v>
      </c>
      <c r="D4">
        <v>15</v>
      </c>
    </row>
    <row r="5" spans="1:4" x14ac:dyDescent="0.25">
      <c r="A5" t="s">
        <v>13</v>
      </c>
      <c r="B5" t="s">
        <v>14</v>
      </c>
      <c r="C5">
        <v>900</v>
      </c>
      <c r="D5">
        <v>7</v>
      </c>
    </row>
    <row r="6" spans="1:4" x14ac:dyDescent="0.25">
      <c r="A6" t="s">
        <v>15</v>
      </c>
      <c r="B6" t="s">
        <v>16</v>
      </c>
      <c r="C6">
        <v>750</v>
      </c>
      <c r="D6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="160" zoomScaleNormal="160" workbookViewId="0">
      <selection activeCell="E5" sqref="E5"/>
    </sheetView>
  </sheetViews>
  <sheetFormatPr defaultRowHeight="15" x14ac:dyDescent="0.25"/>
  <cols>
    <col min="1" max="7" width="25" customWidth="1"/>
  </cols>
  <sheetData>
    <row r="1" spans="1:7" x14ac:dyDescent="0.25">
      <c r="A1" s="3" t="s">
        <v>17</v>
      </c>
      <c r="B1" s="3" t="s">
        <v>3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 spans="1:7" x14ac:dyDescent="0.25">
      <c r="A2">
        <v>0</v>
      </c>
      <c r="B2" t="s">
        <v>23</v>
      </c>
      <c r="C2">
        <v>10</v>
      </c>
      <c r="D2">
        <v>100</v>
      </c>
      <c r="F2">
        <f t="shared" ref="F2:F7" si="0">C2*E2</f>
        <v>0</v>
      </c>
      <c r="G2" t="str">
        <f t="shared" ref="G2:G7" si="1">IF(D2&lt;C2, "?? SHORTAGE", "? OK")</f>
        <v>? OK</v>
      </c>
    </row>
    <row r="3" spans="1:7" x14ac:dyDescent="0.25">
      <c r="A3">
        <v>1</v>
      </c>
      <c r="B3" t="s">
        <v>7</v>
      </c>
      <c r="C3">
        <v>30</v>
      </c>
      <c r="D3">
        <v>100</v>
      </c>
      <c r="F3">
        <f t="shared" si="0"/>
        <v>0</v>
      </c>
      <c r="G3" t="str">
        <f t="shared" si="1"/>
        <v>? OK</v>
      </c>
    </row>
    <row r="4" spans="1:7" x14ac:dyDescent="0.25">
      <c r="A4">
        <v>1</v>
      </c>
      <c r="B4" t="s">
        <v>9</v>
      </c>
      <c r="C4">
        <v>10</v>
      </c>
      <c r="D4">
        <v>100</v>
      </c>
      <c r="F4">
        <f t="shared" si="0"/>
        <v>0</v>
      </c>
      <c r="G4" t="str">
        <f t="shared" si="1"/>
        <v>? OK</v>
      </c>
    </row>
    <row r="5" spans="1:7" x14ac:dyDescent="0.25">
      <c r="A5">
        <v>1</v>
      </c>
      <c r="B5" t="s">
        <v>11</v>
      </c>
      <c r="C5">
        <v>10</v>
      </c>
      <c r="D5">
        <v>69</v>
      </c>
      <c r="F5">
        <f t="shared" si="0"/>
        <v>0</v>
      </c>
      <c r="G5" t="str">
        <f t="shared" si="1"/>
        <v>? OK</v>
      </c>
    </row>
    <row r="6" spans="1:7" x14ac:dyDescent="0.25">
      <c r="A6">
        <v>1</v>
      </c>
      <c r="B6" t="s">
        <v>13</v>
      </c>
      <c r="C6">
        <v>10</v>
      </c>
      <c r="D6">
        <v>200</v>
      </c>
      <c r="F6">
        <f t="shared" si="0"/>
        <v>0</v>
      </c>
      <c r="G6" t="str">
        <f t="shared" si="1"/>
        <v>? OK</v>
      </c>
    </row>
    <row r="7" spans="1:7" x14ac:dyDescent="0.25">
      <c r="A7">
        <v>1</v>
      </c>
      <c r="B7" t="s">
        <v>15</v>
      </c>
      <c r="C7">
        <v>100</v>
      </c>
      <c r="D7">
        <v>100</v>
      </c>
      <c r="F7">
        <f t="shared" si="0"/>
        <v>0</v>
      </c>
      <c r="G7" t="str">
        <f t="shared" si="1"/>
        <v>? OK</v>
      </c>
    </row>
  </sheetData>
  <conditionalFormatting sqref="G2:G7">
    <cfRule type="cellIs" dxfId="0" priority="1" operator="equal">
      <formula>"?? SHORTAGE"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PARTS_MASTER!$A$2:$A$10</xm:f>
          </x14:formula1>
          <xm:sqref>B2:B17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PARTS_MASTER</vt:lpstr>
      <vt:lpstr>BOM_STRUCTURE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2026-05-06T13:14:16Z</dcterms:created>
  <dcterms:modified xsi:type="dcterms:W3CDTF">2026-05-06T13:23:05Z</dcterms:modified>
</cp:coreProperties>
</file>