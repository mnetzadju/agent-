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xcel Agent\"/>
    </mc:Choice>
  </mc:AlternateContent>
  <bookViews>
    <workbookView xWindow="0" yWindow="0" windowWidth="38400" windowHeight="17580" activeTab="1"/>
  </bookViews>
  <sheets>
    <sheet name="HLD_CONCEPTUAL" sheetId="1" r:id="rId1"/>
    <sheet name="LLD_IP_PLAN_GROWTH" sheetId="2" r:id="rId2"/>
    <sheet name="PHYSICAL_PORT_CAPACITY" sheetId="3" r:id="rId3"/>
  </sheets>
  <calcPr calcId="152511"/>
</workbook>
</file>

<file path=xl/calcChain.xml><?xml version="1.0" encoding="utf-8"?>
<calcChain xmlns="http://schemas.openxmlformats.org/spreadsheetml/2006/main">
  <c r="D4" i="3" l="1"/>
  <c r="E4" i="3" s="1"/>
  <c r="D3" i="3"/>
  <c r="E3" i="3" s="1"/>
  <c r="D2" i="3"/>
  <c r="E2" i="3" s="1"/>
  <c r="F6" i="2"/>
  <c r="E6" i="2"/>
  <c r="E5" i="2"/>
  <c r="F5" i="2" s="1"/>
  <c r="F4" i="2"/>
  <c r="E4" i="2"/>
  <c r="F3" i="2"/>
  <c r="E3" i="2"/>
  <c r="E2" i="2"/>
  <c r="F2" i="2" s="1"/>
</calcChain>
</file>

<file path=xl/sharedStrings.xml><?xml version="1.0" encoding="utf-8"?>
<sst xmlns="http://schemas.openxmlformats.org/spreadsheetml/2006/main" count="48" uniqueCount="46">
  <si>
    <t>Design_Component</t>
  </si>
  <si>
    <t>Technology</t>
  </si>
  <si>
    <t>Scalability_Plan</t>
  </si>
  <si>
    <t>Redundancy</t>
  </si>
  <si>
    <t>Core Layer</t>
  </si>
  <si>
    <t>C9500 Stacking (StackWise Virtual)</t>
  </si>
  <si>
    <t>Support up to 100Gbps expansion</t>
  </si>
  <si>
    <t>Hardware &amp; Power Redundancy</t>
  </si>
  <si>
    <t>Distribution Layer</t>
  </si>
  <si>
    <t>C9300 Modular</t>
  </si>
  <si>
    <t>Add 48-port modules as needed</t>
  </si>
  <si>
    <t>Dual-homed uplinks</t>
  </si>
  <si>
    <t>Access Layer</t>
  </si>
  <si>
    <t>C9200L Fixed</t>
  </si>
  <si>
    <t>Add switches to stack (up to 8)</t>
  </si>
  <si>
    <t>Stacking redundancy</t>
  </si>
  <si>
    <t>Internet Edge</t>
  </si>
  <si>
    <t>Dual-ISP (BGP)</t>
  </si>
  <si>
    <t>Expandable bandwidth via SD-WAN</t>
  </si>
  <si>
    <t>Active-Active ISP</t>
  </si>
  <si>
    <t>Security Stack</t>
  </si>
  <si>
    <t>Next-Gen Firewall (HA)</t>
  </si>
  <si>
    <t>License-based throughput upgrade</t>
  </si>
  <si>
    <t>Active-Passive HA Pair</t>
  </si>
  <si>
    <t>VLAN_ID</t>
  </si>
  <si>
    <t>Department</t>
  </si>
  <si>
    <t>Current_Host_Count</t>
  </si>
  <si>
    <t>Subnet_Mask</t>
  </si>
  <si>
    <t>Future_Growth_Cap (30%)</t>
  </si>
  <si>
    <t>Recommended_Subnet</t>
  </si>
  <si>
    <t>Management</t>
  </si>
  <si>
    <t>/24</t>
  </si>
  <si>
    <t>Users_Main</t>
  </si>
  <si>
    <t>/23</t>
  </si>
  <si>
    <t>Voice/IP-Phone</t>
  </si>
  <si>
    <t>Server_Farm</t>
  </si>
  <si>
    <t>/27</t>
  </si>
  <si>
    <t>Native_MGMT</t>
  </si>
  <si>
    <t>Switch_Name</t>
  </si>
  <si>
    <t>Total_Ports</t>
  </si>
  <si>
    <t>Used_Ports</t>
  </si>
  <si>
    <t>Utilization_%</t>
  </si>
  <si>
    <t>Growth_Alert</t>
  </si>
  <si>
    <t>SW-ACC-01</t>
  </si>
  <si>
    <t>SW-ACC-02</t>
  </si>
  <si>
    <t>SW-DIST-01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</si>
</sst>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 x14ac:dyDescent="0.25"/>
  <cols>
    <col min="1" max="1" width="25" customWidth="1"/>
    <col min="2" max="2" width="31.85546875" bestFit="1" customWidth="1"/>
    <col min="3" max="3" width="33" bestFit="1" customWidth="1"/>
    <col min="4" max="4" width="29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/>
  </sheetViews>
  <sheetFormatPr defaultRowHeight="15" x14ac:dyDescent="0.25"/>
  <cols>
    <col min="1" max="6" width="25" customWidth="1"/>
  </cols>
  <sheetData>
    <row r="1" spans="1:6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25">
      <c r="A2">
        <v>10</v>
      </c>
      <c r="B2" t="s">
        <v>30</v>
      </c>
      <c r="C2">
        <v>20</v>
      </c>
      <c r="D2" t="s">
        <v>31</v>
      </c>
      <c r="E2">
        <f>C2*1.3</f>
        <v>26</v>
      </c>
      <c r="F2" t="str">
        <f>IF(E2&gt;254, "/23 (510 Hosts)", "/24 (254 Hosts)")</f>
        <v>/24 (254 Hosts)</v>
      </c>
    </row>
    <row r="3" spans="1:6" x14ac:dyDescent="0.25">
      <c r="A3">
        <v>20</v>
      </c>
      <c r="B3" t="s">
        <v>32</v>
      </c>
      <c r="C3">
        <v>150</v>
      </c>
      <c r="D3" t="s">
        <v>33</v>
      </c>
      <c r="E3">
        <f>C3*1.3</f>
        <v>195</v>
      </c>
      <c r="F3" t="str">
        <f>IF(E3&gt;254, "/23 (510 Hosts)", "/24 (254 Hosts)")</f>
        <v>/24 (254 Hosts)</v>
      </c>
    </row>
    <row r="4" spans="1:6" x14ac:dyDescent="0.25">
      <c r="A4">
        <v>30</v>
      </c>
      <c r="B4" t="s">
        <v>34</v>
      </c>
      <c r="C4">
        <v>100</v>
      </c>
      <c r="D4" t="s">
        <v>31</v>
      </c>
      <c r="E4">
        <f>C4*1.3</f>
        <v>130</v>
      </c>
      <c r="F4" t="str">
        <f>IF(E4&gt;254, "/23 (510 Hosts)", "/24 (254 Hosts)")</f>
        <v>/24 (254 Hosts)</v>
      </c>
    </row>
    <row r="5" spans="1:6" x14ac:dyDescent="0.25">
      <c r="A5">
        <v>40</v>
      </c>
      <c r="B5" t="s">
        <v>35</v>
      </c>
      <c r="C5">
        <v>10</v>
      </c>
      <c r="D5" t="s">
        <v>36</v>
      </c>
      <c r="E5">
        <f>C5*1.3</f>
        <v>13</v>
      </c>
      <c r="F5" t="str">
        <f>IF(E5&gt;254, "/23 (510 Hosts)", "/24 (254 Hosts)")</f>
        <v>/24 (254 Hosts)</v>
      </c>
    </row>
    <row r="6" spans="1:6" x14ac:dyDescent="0.25">
      <c r="A6">
        <v>99</v>
      </c>
      <c r="B6" t="s">
        <v>37</v>
      </c>
      <c r="C6">
        <v>5</v>
      </c>
      <c r="D6" t="s">
        <v>31</v>
      </c>
      <c r="E6">
        <f>C6*1.3</f>
        <v>6.5</v>
      </c>
      <c r="F6" t="str">
        <f>IF(E6&gt;254, "/23 (510 Hosts)", "/24 (254 Hosts)")</f>
        <v>/24 (254 Hosts)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 x14ac:dyDescent="0.25"/>
  <cols>
    <col min="1" max="5" width="25" customWidth="1"/>
  </cols>
  <sheetData>
    <row r="1" spans="1:5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 x14ac:dyDescent="0.25">
      <c r="A2" t="s">
        <v>43</v>
      </c>
      <c r="B2">
        <v>48</v>
      </c>
      <c r="C2">
        <v>32</v>
      </c>
      <c r="D2" s="2">
        <f>C2/B2</f>
        <v>0.66666666666666663</v>
      </c>
      <c r="E2" t="str">
        <f>IF(D2&gt;0.8, "?? FULL: ADD SWITCH", "? OK")</f>
        <v>? OK</v>
      </c>
    </row>
    <row r="3" spans="1:5" x14ac:dyDescent="0.25">
      <c r="A3" t="s">
        <v>44</v>
      </c>
      <c r="B3">
        <v>48</v>
      </c>
      <c r="C3">
        <v>40</v>
      </c>
      <c r="D3" s="2">
        <f>C3/B3</f>
        <v>0.83333333333333337</v>
      </c>
      <c r="E3" t="str">
        <f>IF(D3&gt;0.8, "?? FULL: ADD SWITCH", "? OK")</f>
        <v>?? FULL: ADD SWITCH</v>
      </c>
    </row>
    <row r="4" spans="1:5" x14ac:dyDescent="0.25">
      <c r="A4" t="s">
        <v>45</v>
      </c>
      <c r="B4">
        <v>24</v>
      </c>
      <c r="C4">
        <v>12</v>
      </c>
      <c r="D4" s="2">
        <f>C4/B4</f>
        <v>0.5</v>
      </c>
      <c r="E4" t="str">
        <f>IF(D4&gt;0.8, "?? FULL: ADD SWITCH", "? OK")</f>
        <v>? OK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HLD_CONCEPTUAL</vt:lpstr>
      <vt:lpstr>LLD_IP_PLAN_GROWTH</vt:lpstr>
      <vt:lpstr>PHYSICAL_PORT_CAPACITY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Mnetz</cp:lastModifiedBy>
  <dcterms:created xsi:type="dcterms:W3CDTF">2026-05-09T19:43:39Z</dcterms:created>
  <dcterms:modified xsi:type="dcterms:W3CDTF">2026-05-09T19:45:19Z</dcterms:modified>
</cp:coreProperties>
</file>