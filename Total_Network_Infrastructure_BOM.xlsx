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Excel Agent\"/>
    </mc:Choice>
  </mc:AlternateContent>
  <bookViews>
    <workbookView xWindow="0" yWindow="0" windowWidth="38400" windowHeight="17985" activeTab="2"/>
  </bookViews>
  <sheets>
    <sheet name="DASHBOARD" sheetId="1" r:id="rId1"/>
    <sheet name="MASTER_CATALOG" sheetId="2" r:id="rId2"/>
    <sheet name="CABLE_CALCULATOR" sheetId="3" r:id="rId3"/>
    <sheet name="BOM_ACTIVE" sheetId="4" r:id="rId4"/>
    <sheet name="BOM_PASSIVE" sheetId="5" r:id="rId5"/>
    <sheet name="SITE_PROGRESS" sheetId="6" r:id="rId6"/>
  </sheets>
  <calcPr calcId="152511"/>
</workbook>
</file>

<file path=xl/calcChain.xml><?xml version="1.0" encoding="utf-8"?>
<calcChain xmlns="http://schemas.openxmlformats.org/spreadsheetml/2006/main">
  <c r="H12" i="3" l="1"/>
  <c r="F12" i="3"/>
  <c r="E12" i="3"/>
  <c r="D12" i="3"/>
  <c r="C12" i="3"/>
  <c r="G5" i="3"/>
  <c r="H5" i="3" s="1"/>
  <c r="G6" i="3"/>
  <c r="H6" i="3" s="1"/>
  <c r="G7" i="3"/>
  <c r="H7" i="3" s="1"/>
  <c r="G8" i="3"/>
  <c r="G9" i="3"/>
  <c r="G12" i="3" s="1"/>
  <c r="G4" i="3"/>
  <c r="H4" i="3" s="1"/>
  <c r="G3" i="3"/>
  <c r="H3" i="3" s="1"/>
  <c r="G2" i="3"/>
  <c r="H2" i="3" s="1"/>
  <c r="C5" i="1"/>
  <c r="C4" i="1"/>
</calcChain>
</file>

<file path=xl/sharedStrings.xml><?xml version="1.0" encoding="utf-8"?>
<sst xmlns="http://schemas.openxmlformats.org/spreadsheetml/2006/main" count="80" uniqueCount="64">
  <si>
    <t>?? TOTAL NETWORK INFRASTRUCTURE COMMAND CENTER</t>
  </si>
  <si>
    <t>ACTIVE EQUIPMENT COST:</t>
  </si>
  <si>
    <t>PASSIVE WORKS COST:</t>
  </si>
  <si>
    <t>Part_ID</t>
  </si>
  <si>
    <t>Category</t>
  </si>
  <si>
    <t>Description</t>
  </si>
  <si>
    <t>Manufacturer</t>
  </si>
  <si>
    <t>Unit_Cost</t>
  </si>
  <si>
    <t>Stock</t>
  </si>
  <si>
    <t>ACT-001</t>
  </si>
  <si>
    <t>Active</t>
  </si>
  <si>
    <t>Core Switch 48-Port</t>
  </si>
  <si>
    <t>Cisco</t>
  </si>
  <si>
    <t>ACT-002</t>
  </si>
  <si>
    <t>Next-Gen Firewall</t>
  </si>
  <si>
    <t>Fortinet</t>
  </si>
  <si>
    <t>PAS-001</t>
  </si>
  <si>
    <t>Passive</t>
  </si>
  <si>
    <t>Cat6 UTP Cable (305m)</t>
  </si>
  <si>
    <t>Panduit</t>
  </si>
  <si>
    <t>PAS-002</t>
  </si>
  <si>
    <t>24-Port Patch Panel</t>
  </si>
  <si>
    <t>Schneider</t>
  </si>
  <si>
    <t>PAS-003</t>
  </si>
  <si>
    <t>42U Data Rack</t>
  </si>
  <si>
    <t>APC</t>
  </si>
  <si>
    <t>PAS-004</t>
  </si>
  <si>
    <t>Cat6 Patch Cord (2m)</t>
  </si>
  <si>
    <t>Commscope</t>
  </si>
  <si>
    <t>Area_Zone</t>
  </si>
  <si>
    <t>Cable_Type</t>
  </si>
  <si>
    <t>No_of_Nodes</t>
  </si>
  <si>
    <t>Avg_Distance_Meters</t>
  </si>
  <si>
    <t>Slack_Meters</t>
  </si>
  <si>
    <t>Wastage_Factor</t>
  </si>
  <si>
    <t>Total_Cable_Required(m)</t>
  </si>
  <si>
    <t>Estimated_Boxes(305m)</t>
  </si>
  <si>
    <t>Ground Floor</t>
  </si>
  <si>
    <t>2nd Floor</t>
  </si>
  <si>
    <t>Server Room</t>
  </si>
  <si>
    <t>Cat6A Shielded</t>
  </si>
  <si>
    <t>Level</t>
  </si>
  <si>
    <t>Qty</t>
  </si>
  <si>
    <t>License_Status</t>
  </si>
  <si>
    <t>Maintenance</t>
  </si>
  <si>
    <t>Permanent</t>
  </si>
  <si>
    <t>3Y SmartNet</t>
  </si>
  <si>
    <t>Item</t>
  </si>
  <si>
    <t>Installation_Status</t>
  </si>
  <si>
    <t>Pending</t>
  </si>
  <si>
    <t>Site_Name</t>
  </si>
  <si>
    <t>Design_Phase</t>
  </si>
  <si>
    <t>Implementation</t>
  </si>
  <si>
    <t>Target_Date</t>
  </si>
  <si>
    <t>Building A</t>
  </si>
  <si>
    <t>LLD Approved</t>
  </si>
  <si>
    <t>0%</t>
  </si>
  <si>
    <t>2026-12-01</t>
  </si>
  <si>
    <t>UTP Cable Grand Total</t>
  </si>
  <si>
    <t>3rd Floor</t>
  </si>
  <si>
    <t>4th Floor</t>
  </si>
  <si>
    <t>5th Floor</t>
  </si>
  <si>
    <t>6th Floor</t>
  </si>
  <si>
    <t>7th Floor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</si>
</sst>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4" x14ac:knownFonts="1">
    <font>
      <sz val="11"/>
      <color theme="1"/>
      <name val="Calibri"/>
      <family val="2"/>
      <scheme val="minor"/>
    </font>
    <font>
      <b/>
      <sz val="18"/>
      <color rgb="FF1F4E78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2" borderId="0" xfId="0" applyFont="1" applyFill="1"/>
    <xf numFmtId="0" fontId="3" fillId="0" borderId="0" xfId="0" applyFont="1"/>
    <xf numFmtId="0" fontId="3" fillId="3" borderId="0" xfId="0" applyFont="1" applyFill="1"/>
    <xf numFmtId="0" fontId="3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Cost Distribution: Active vs Passive</a:t>
            </a:r>
          </a:p>
        </c:rich>
      </c:tx>
      <c:layout/>
      <c:overlay val="1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DASHBOARD!$B$4:$B$5</c:f>
              <c:strCache>
                <c:ptCount val="2"/>
                <c:pt idx="0">
                  <c:v>ACTIVE EQUIPMENT COST:</c:v>
                </c:pt>
                <c:pt idx="1">
                  <c:v>PASSIVE WORKS COST:</c:v>
                </c:pt>
              </c:strCache>
            </c:strRef>
          </c:cat>
          <c:val>
            <c:numRef>
              <c:f>DASHBOARD!$C$4:$C$5</c:f>
              <c:numCache>
                <c:formatCode>"$"#,##0.00</c:formatCode>
                <c:ptCount val="2"/>
                <c:pt idx="0">
                  <c:v>#N/A</c:v>
                </c:pt>
                <c:pt idx="1">
                  <c:v>#N/A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304800</xdr:colOff>
      <xdr:row>6</xdr:row>
      <xdr:rowOff>19050</xdr:rowOff>
    </xdr:from>
    <xdr:ext cx="5400000" cy="270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5"/>
  <sheetViews>
    <sheetView workbookViewId="0">
      <selection activeCell="H25" sqref="H25:I25"/>
    </sheetView>
  </sheetViews>
  <sheetFormatPr defaultRowHeight="15" x14ac:dyDescent="0.25"/>
  <sheetData>
    <row r="2" spans="2:3" ht="23.25" x14ac:dyDescent="0.35">
      <c r="B2" s="1" t="s">
        <v>0</v>
      </c>
    </row>
    <row r="4" spans="2:3" x14ac:dyDescent="0.25">
      <c r="B4" t="s">
        <v>1</v>
      </c>
      <c r="C4" s="2" t="e">
        <f>SUMPRODUCT(BOM_ACTIVE!C2:C10, LOOKUP(BOM_ACTIVE!B2:B10, MASTER_CATALOG!A:A, MASTER_CATALOG!E:E))</f>
        <v>#N/A</v>
      </c>
    </row>
    <row r="5" spans="2:3" x14ac:dyDescent="0.25">
      <c r="B5" t="s">
        <v>2</v>
      </c>
      <c r="C5" s="2" t="e">
        <f>SUMPRODUCT(BOM_PASSIVE!C2:C10, LOOKUP(BOM_PASSIVE!B2:B10, MASTER_CATALOG!A:A, MASTER_CATALOG!E:E))</f>
        <v>#N/A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zoomScale="190" zoomScaleNormal="190" workbookViewId="0">
      <selection activeCell="F4" sqref="F4"/>
    </sheetView>
  </sheetViews>
  <sheetFormatPr defaultRowHeight="15" x14ac:dyDescent="0.25"/>
  <cols>
    <col min="1" max="6" width="22" customWidth="1"/>
  </cols>
  <sheetData>
    <row r="1" spans="1:6" x14ac:dyDescent="0.25">
      <c r="A1" s="3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</row>
    <row r="2" spans="1:6" x14ac:dyDescent="0.25">
      <c r="A2" t="s">
        <v>9</v>
      </c>
      <c r="B2" t="s">
        <v>10</v>
      </c>
      <c r="C2" t="s">
        <v>11</v>
      </c>
      <c r="D2" t="s">
        <v>12</v>
      </c>
      <c r="E2">
        <v>5500</v>
      </c>
      <c r="F2">
        <v>0</v>
      </c>
    </row>
    <row r="3" spans="1:6" x14ac:dyDescent="0.25">
      <c r="A3" t="s">
        <v>13</v>
      </c>
      <c r="B3" t="s">
        <v>10</v>
      </c>
      <c r="C3" t="s">
        <v>14</v>
      </c>
      <c r="D3" t="s">
        <v>15</v>
      </c>
      <c r="E3">
        <v>3200</v>
      </c>
      <c r="F3">
        <v>2</v>
      </c>
    </row>
    <row r="4" spans="1:6" x14ac:dyDescent="0.25">
      <c r="A4" t="s">
        <v>16</v>
      </c>
      <c r="B4" t="s">
        <v>17</v>
      </c>
      <c r="C4" t="s">
        <v>18</v>
      </c>
      <c r="D4" t="s">
        <v>19</v>
      </c>
      <c r="E4">
        <v>180</v>
      </c>
      <c r="F4">
        <v>50</v>
      </c>
    </row>
    <row r="5" spans="1:6" x14ac:dyDescent="0.25">
      <c r="A5" t="s">
        <v>20</v>
      </c>
      <c r="B5" t="s">
        <v>17</v>
      </c>
      <c r="C5" t="s">
        <v>21</v>
      </c>
      <c r="D5" t="s">
        <v>22</v>
      </c>
      <c r="E5">
        <v>120</v>
      </c>
      <c r="F5">
        <v>20</v>
      </c>
    </row>
    <row r="6" spans="1:6" x14ac:dyDescent="0.25">
      <c r="A6" t="s">
        <v>23</v>
      </c>
      <c r="B6" t="s">
        <v>17</v>
      </c>
      <c r="C6" t="s">
        <v>24</v>
      </c>
      <c r="D6" t="s">
        <v>25</v>
      </c>
      <c r="E6">
        <v>1500</v>
      </c>
      <c r="F6">
        <v>5</v>
      </c>
    </row>
    <row r="7" spans="1:6" x14ac:dyDescent="0.25">
      <c r="A7" t="s">
        <v>26</v>
      </c>
      <c r="B7" t="s">
        <v>17</v>
      </c>
      <c r="C7" t="s">
        <v>27</v>
      </c>
      <c r="D7" t="s">
        <v>28</v>
      </c>
      <c r="E7">
        <v>15</v>
      </c>
      <c r="F7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tabSelected="1" zoomScale="160" zoomScaleNormal="160" workbookViewId="0">
      <selection activeCell="D9" sqref="D9"/>
    </sheetView>
  </sheetViews>
  <sheetFormatPr defaultRowHeight="15" x14ac:dyDescent="0.25"/>
  <cols>
    <col min="1" max="8" width="22" customWidth="1"/>
  </cols>
  <sheetData>
    <row r="1" spans="1:8" x14ac:dyDescent="0.25">
      <c r="A1" s="3" t="s">
        <v>29</v>
      </c>
      <c r="B1" s="3" t="s">
        <v>30</v>
      </c>
      <c r="C1" s="3" t="s">
        <v>31</v>
      </c>
      <c r="D1" s="3" t="s">
        <v>32</v>
      </c>
      <c r="E1" s="3" t="s">
        <v>33</v>
      </c>
      <c r="F1" s="3" t="s">
        <v>34</v>
      </c>
      <c r="G1" s="3" t="s">
        <v>35</v>
      </c>
      <c r="H1" s="3" t="s">
        <v>36</v>
      </c>
    </row>
    <row r="2" spans="1:8" x14ac:dyDescent="0.25">
      <c r="A2" t="s">
        <v>37</v>
      </c>
      <c r="B2" t="s">
        <v>40</v>
      </c>
      <c r="C2">
        <v>50</v>
      </c>
      <c r="D2">
        <v>65</v>
      </c>
      <c r="E2">
        <v>2.8</v>
      </c>
      <c r="F2">
        <v>1.1000000000000001</v>
      </c>
      <c r="G2">
        <f>(D2+E2)*C2*F2</f>
        <v>3729.0000000000005</v>
      </c>
      <c r="H2">
        <f>ROUNDUP(G2/305, 0)</f>
        <v>13</v>
      </c>
    </row>
    <row r="3" spans="1:8" x14ac:dyDescent="0.25">
      <c r="A3" t="s">
        <v>38</v>
      </c>
      <c r="B3" t="s">
        <v>40</v>
      </c>
      <c r="C3">
        <v>96</v>
      </c>
      <c r="D3">
        <v>60</v>
      </c>
      <c r="E3">
        <v>2.8</v>
      </c>
      <c r="F3">
        <v>1.1000000000000001</v>
      </c>
      <c r="G3">
        <f>(D3+E3)*C3*F3</f>
        <v>6631.6799999999994</v>
      </c>
      <c r="H3">
        <f>ROUNDUP(G3/305, 0)</f>
        <v>22</v>
      </c>
    </row>
    <row r="4" spans="1:8" x14ac:dyDescent="0.25">
      <c r="A4" t="s">
        <v>59</v>
      </c>
      <c r="B4" t="s">
        <v>40</v>
      </c>
      <c r="C4">
        <v>65</v>
      </c>
      <c r="D4">
        <v>58</v>
      </c>
      <c r="E4">
        <v>2.8</v>
      </c>
      <c r="F4">
        <v>1.1000000000000001</v>
      </c>
      <c r="G4">
        <f>(D4+E4)*C4*F4</f>
        <v>4347.2000000000007</v>
      </c>
      <c r="H4">
        <f>ROUNDUP(G4/305, 0)</f>
        <v>15</v>
      </c>
    </row>
    <row r="5" spans="1:8" x14ac:dyDescent="0.25">
      <c r="A5" t="s">
        <v>60</v>
      </c>
      <c r="B5" t="s">
        <v>40</v>
      </c>
      <c r="C5">
        <v>78</v>
      </c>
      <c r="D5">
        <v>60</v>
      </c>
      <c r="E5">
        <v>2.8</v>
      </c>
      <c r="F5">
        <v>1.1000000000000001</v>
      </c>
      <c r="G5">
        <f t="shared" ref="G5:G9" si="0">(D5+E5)*C5*F5</f>
        <v>5388.24</v>
      </c>
      <c r="H5">
        <f t="shared" ref="H5:H9" si="1">ROUNDUP(G5/305, 0)</f>
        <v>18</v>
      </c>
    </row>
    <row r="6" spans="1:8" x14ac:dyDescent="0.25">
      <c r="A6" t="s">
        <v>61</v>
      </c>
      <c r="B6" t="s">
        <v>40</v>
      </c>
      <c r="C6">
        <v>80</v>
      </c>
      <c r="D6">
        <v>69</v>
      </c>
      <c r="E6">
        <v>2.8</v>
      </c>
      <c r="F6">
        <v>1.1000000000000001</v>
      </c>
      <c r="G6">
        <f t="shared" si="0"/>
        <v>6318.4000000000005</v>
      </c>
      <c r="H6">
        <f t="shared" si="1"/>
        <v>21</v>
      </c>
    </row>
    <row r="7" spans="1:8" x14ac:dyDescent="0.25">
      <c r="A7" t="s">
        <v>62</v>
      </c>
      <c r="B7" t="s">
        <v>40</v>
      </c>
      <c r="C7">
        <v>85</v>
      </c>
      <c r="D7">
        <v>79</v>
      </c>
      <c r="E7">
        <v>2.8</v>
      </c>
      <c r="F7">
        <v>1.1000000000000001</v>
      </c>
      <c r="G7">
        <f t="shared" si="0"/>
        <v>7648.3</v>
      </c>
      <c r="H7">
        <f t="shared" si="1"/>
        <v>26</v>
      </c>
    </row>
    <row r="8" spans="1:8" x14ac:dyDescent="0.25">
      <c r="A8" t="s">
        <v>63</v>
      </c>
      <c r="B8" t="s">
        <v>40</v>
      </c>
      <c r="C8">
        <v>100</v>
      </c>
      <c r="D8">
        <v>78</v>
      </c>
      <c r="E8">
        <v>2.8</v>
      </c>
      <c r="F8">
        <v>1.1000000000000001</v>
      </c>
      <c r="G8">
        <f t="shared" si="0"/>
        <v>8888</v>
      </c>
      <c r="H8">
        <v>28</v>
      </c>
    </row>
    <row r="9" spans="1:8" x14ac:dyDescent="0.25">
      <c r="A9" t="s">
        <v>39</v>
      </c>
      <c r="B9" t="s">
        <v>40</v>
      </c>
      <c r="C9">
        <v>65</v>
      </c>
      <c r="D9">
        <v>20</v>
      </c>
      <c r="E9">
        <v>2.8</v>
      </c>
      <c r="F9">
        <v>1.1000000000000001</v>
      </c>
      <c r="G9">
        <f t="shared" si="0"/>
        <v>1630.2</v>
      </c>
      <c r="H9">
        <v>16</v>
      </c>
    </row>
    <row r="12" spans="1:8" s="4" customFormat="1" x14ac:dyDescent="0.25">
      <c r="A12" s="5"/>
      <c r="B12" s="6" t="s">
        <v>58</v>
      </c>
      <c r="C12" s="5">
        <f>SUM(C2:C9)</f>
        <v>619</v>
      </c>
      <c r="D12" s="5">
        <f>SUM(D2:D9)</f>
        <v>489</v>
      </c>
      <c r="E12" s="5">
        <f>SUM(E2:E9)</f>
        <v>22.400000000000002</v>
      </c>
      <c r="F12" s="5">
        <f>SUM(F2:F9)</f>
        <v>8.7999999999999989</v>
      </c>
      <c r="G12" s="5">
        <f>SUM(G2:G9)</f>
        <v>44581.020000000004</v>
      </c>
      <c r="H12" s="5">
        <f>SUM(H2:H9)</f>
        <v>159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zoomScale="160" zoomScaleNormal="160" workbookViewId="0">
      <selection activeCell="C5" sqref="C5"/>
    </sheetView>
  </sheetViews>
  <sheetFormatPr defaultRowHeight="15" x14ac:dyDescent="0.25"/>
  <cols>
    <col min="1" max="5" width="22" customWidth="1"/>
  </cols>
  <sheetData>
    <row r="1" spans="1:5" x14ac:dyDescent="0.25">
      <c r="A1" s="3" t="s">
        <v>41</v>
      </c>
      <c r="B1" s="3" t="s">
        <v>3</v>
      </c>
      <c r="C1" s="3" t="s">
        <v>42</v>
      </c>
      <c r="D1" s="3" t="s">
        <v>43</v>
      </c>
      <c r="E1" s="3" t="s">
        <v>44</v>
      </c>
    </row>
    <row r="2" spans="1:5" x14ac:dyDescent="0.25">
      <c r="A2">
        <v>1</v>
      </c>
      <c r="B2" t="s">
        <v>9</v>
      </c>
      <c r="C2">
        <v>5</v>
      </c>
      <c r="D2" t="s">
        <v>45</v>
      </c>
      <c r="E2" t="s">
        <v>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zoomScale="160" zoomScaleNormal="160" workbookViewId="0">
      <selection activeCell="D2" sqref="D2"/>
    </sheetView>
  </sheetViews>
  <sheetFormatPr defaultRowHeight="15" x14ac:dyDescent="0.25"/>
  <cols>
    <col min="1" max="4" width="22" customWidth="1"/>
  </cols>
  <sheetData>
    <row r="1" spans="1:4" x14ac:dyDescent="0.25">
      <c r="A1" s="3" t="s">
        <v>47</v>
      </c>
      <c r="B1" s="3" t="s">
        <v>3</v>
      </c>
      <c r="C1" s="3" t="s">
        <v>42</v>
      </c>
      <c r="D1" s="3" t="s">
        <v>48</v>
      </c>
    </row>
    <row r="2" spans="1:4" x14ac:dyDescent="0.25">
      <c r="A2">
        <v>1</v>
      </c>
      <c r="B2" t="s">
        <v>16</v>
      </c>
      <c r="C2">
        <v>5</v>
      </c>
      <c r="D2" t="s">
        <v>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A2" sqref="A2"/>
    </sheetView>
  </sheetViews>
  <sheetFormatPr defaultRowHeight="15" x14ac:dyDescent="0.25"/>
  <cols>
    <col min="1" max="4" width="22" customWidth="1"/>
  </cols>
  <sheetData>
    <row r="1" spans="1:4" x14ac:dyDescent="0.25">
      <c r="A1" s="3" t="s">
        <v>50</v>
      </c>
      <c r="B1" s="3" t="s">
        <v>51</v>
      </c>
      <c r="C1" s="3" t="s">
        <v>52</v>
      </c>
      <c r="D1" s="3" t="s">
        <v>53</v>
      </c>
    </row>
    <row r="2" spans="1:4" x14ac:dyDescent="0.25">
      <c r="A2" t="s">
        <v>54</v>
      </c>
      <c r="B2" t="s">
        <v>55</v>
      </c>
      <c r="C2" t="s">
        <v>56</v>
      </c>
      <c r="D2" t="s">
        <v>57</v>
      </c>
    </row>
  </sheetData>
  <dataValidations count="1">
    <dataValidation type="list" allowBlank="1" sqref="B2:B100">
      <formula1>"Survey,LLD Design,LLD Approved,HLD Finalized,Implementation,As-Built"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MASTER_CATALOG</vt:lpstr>
      <vt:lpstr>CABLE_CALCULATOR</vt:lpstr>
      <vt:lpstr>BOM_ACTIVE</vt:lpstr>
      <vt:lpstr>BOM_PASSIVE</vt:lpstr>
      <vt:lpstr>SITE_PROGRESS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Mnetz</cp:lastModifiedBy>
  <dcterms:created xsi:type="dcterms:W3CDTF">2026-05-06T21:10:59Z</dcterms:created>
  <dcterms:modified xsi:type="dcterms:W3CDTF">2026-05-06T21:35:16Z</dcterms:modified>
</cp:coreProperties>
</file>