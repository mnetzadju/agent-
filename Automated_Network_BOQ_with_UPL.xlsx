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UPL_LIST" sheetId="1" state="visible" r:id="rId1"/>
    <sheet name="BOQ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DESCRIPTION</t>
        </is>
      </c>
      <c r="C1" t="inlineStr">
        <is>
          <t>OFFICIAL_UPL</t>
        </is>
      </c>
      <c r="D1" t="inlineStr">
        <is>
          <t>CURRENCY</t>
        </is>
      </c>
    </row>
    <row r="2">
      <c r="A2" t="inlineStr">
        <is>
          <t>CISCO-9200L</t>
        </is>
      </c>
      <c r="B2" t="inlineStr">
        <is>
          <t>Cisco 24-Port Switch</t>
        </is>
      </c>
      <c r="C2" t="n">
        <v>2850</v>
      </c>
      <c r="D2" t="inlineStr">
        <is>
          <t>USD</t>
        </is>
      </c>
    </row>
    <row r="3">
      <c r="A3" t="inlineStr">
        <is>
          <t>FORTI-60F</t>
        </is>
      </c>
      <c r="B3" t="inlineStr">
        <is>
          <t>FortiGate Firewall</t>
        </is>
      </c>
      <c r="C3" t="n">
        <v>1450</v>
      </c>
      <c r="D3" t="inlineStr">
        <is>
          <t>USD</t>
        </is>
      </c>
    </row>
    <row r="4">
      <c r="A4" t="inlineStr">
        <is>
          <t>ARUBA-AP505</t>
        </is>
      </c>
      <c r="B4" t="inlineStr">
        <is>
          <t>Aruba Access Point</t>
        </is>
      </c>
      <c r="C4" t="n">
        <v>480</v>
      </c>
      <c r="D4" t="inlineStr">
        <is>
          <t>USD</t>
        </is>
      </c>
    </row>
    <row r="5">
      <c r="A5" t="inlineStr">
        <is>
          <t>PANDUIT-CAT6</t>
        </is>
      </c>
      <c r="B5" t="inlineStr">
        <is>
          <t>Cat6 UTP Cable Box</t>
        </is>
      </c>
      <c r="C5" t="n">
        <v>195</v>
      </c>
      <c r="D5" t="inlineStr">
        <is>
          <t>USD</t>
        </is>
      </c>
    </row>
    <row r="6">
      <c r="A6" t="inlineStr">
        <is>
          <t>LABOR-NST</t>
        </is>
      </c>
      <c r="B6" t="inlineStr">
        <is>
          <t>Installation Labor</t>
        </is>
      </c>
      <c r="C6" t="n">
        <v>75</v>
      </c>
      <c r="D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PART_NUMBER</t>
        </is>
      </c>
      <c r="B1" s="1" t="inlineStr">
        <is>
          <t>DESCRIPTION (AUTO)</t>
        </is>
      </c>
      <c r="C1" s="1" t="inlineStr">
        <is>
          <t>QTY</t>
        </is>
      </c>
      <c r="D1" s="1" t="inlineStr">
        <is>
          <t>APPROVED_UPL</t>
        </is>
      </c>
      <c r="E1" s="1" t="inlineStr">
        <is>
          <t>ADJUSTMENT_%</t>
        </is>
      </c>
      <c r="F1" s="1" t="inlineStr">
        <is>
          <t>FINAL_UNIT_PRICE</t>
        </is>
      </c>
      <c r="G1" s="1" t="inlineStr">
        <is>
          <t>TOTAL_AMOUNT</t>
        </is>
      </c>
    </row>
    <row r="2">
      <c r="A2" t="inlineStr"/>
      <c r="B2">
        <f>IFERROR(VLOOKUP(A2, MASTER_UPL_LIST!$A$2:$D$100, 2, FALSE), "")</f>
        <v/>
      </c>
      <c r="C2" t="n">
        <v>1</v>
      </c>
      <c r="D2" s="2">
        <f>IFERROR(VLOOKUP(A2, MASTER_UPL_LIST!$A$2:$D$100, 3, FALSE), 0)</f>
        <v/>
      </c>
      <c r="E2" s="3" t="n">
        <v>0</v>
      </c>
      <c r="F2" s="2">
        <f>D2*(1+E2)</f>
        <v/>
      </c>
      <c r="G2" s="2">
        <f>C2*F2</f>
        <v/>
      </c>
    </row>
    <row r="3">
      <c r="A3" t="inlineStr"/>
      <c r="B3">
        <f>IFERROR(VLOOKUP(A3, MASTER_UPL_LIST!$A$2:$D$100, 2, FALSE), "")</f>
        <v/>
      </c>
      <c r="C3" t="n">
        <v>1</v>
      </c>
      <c r="D3" s="2">
        <f>IFERROR(VLOOKUP(A3, MASTER_UPL_LIST!$A$2:$D$100, 3, FALSE), 0)</f>
        <v/>
      </c>
      <c r="E3" s="3" t="n">
        <v>0</v>
      </c>
      <c r="F3" s="2">
        <f>D3*(1+E3)</f>
        <v/>
      </c>
      <c r="G3" s="2">
        <f>C3*F3</f>
        <v/>
      </c>
    </row>
    <row r="4">
      <c r="A4" t="inlineStr"/>
      <c r="B4">
        <f>IFERROR(VLOOKUP(A4, MASTER_UPL_LIST!$A$2:$D$100, 2, FALSE), "")</f>
        <v/>
      </c>
      <c r="C4" t="n">
        <v>1</v>
      </c>
      <c r="D4" s="2">
        <f>IFERROR(VLOOKUP(A4, MASTER_UPL_LIST!$A$2:$D$100, 3, FALSE), 0)</f>
        <v/>
      </c>
      <c r="E4" s="3" t="n">
        <v>0</v>
      </c>
      <c r="F4" s="2">
        <f>D4*(1+E4)</f>
        <v/>
      </c>
      <c r="G4" s="2">
        <f>C4*F4</f>
        <v/>
      </c>
    </row>
    <row r="5">
      <c r="A5" t="inlineStr"/>
      <c r="B5">
        <f>IFERROR(VLOOKUP(A5, MASTER_UPL_LIST!$A$2:$D$100, 2, FALSE), "")</f>
        <v/>
      </c>
      <c r="C5" t="n">
        <v>1</v>
      </c>
      <c r="D5" s="2">
        <f>IFERROR(VLOOKUP(A5, MASTER_UPL_LIST!$A$2:$D$100, 3, FALSE), 0)</f>
        <v/>
      </c>
      <c r="E5" s="3" t="n">
        <v>0</v>
      </c>
      <c r="F5" s="2">
        <f>D5*(1+E5)</f>
        <v/>
      </c>
      <c r="G5" s="2">
        <f>C5*F5</f>
        <v/>
      </c>
    </row>
    <row r="6">
      <c r="A6" t="inlineStr"/>
      <c r="B6">
        <f>IFERROR(VLOOKUP(A6, MASTER_UPL_LIST!$A$2:$D$100, 2, FALSE), "")</f>
        <v/>
      </c>
      <c r="C6" t="n">
        <v>1</v>
      </c>
      <c r="D6" s="2">
        <f>IFERROR(VLOOKUP(A6, MASTER_UPL_LIST!$A$2:$D$100, 3, FALSE), 0)</f>
        <v/>
      </c>
      <c r="E6" s="3" t="n">
        <v>0</v>
      </c>
      <c r="F6" s="2">
        <f>D6*(1+E6)</f>
        <v/>
      </c>
      <c r="G6" s="2">
        <f>C6*F6</f>
        <v/>
      </c>
    </row>
    <row r="7">
      <c r="B7">
        <f>IFERROR(VLOOKUP(A7, MASTER_UPL_LIST!$A$2:$D$100, 2, FALSE), "")</f>
        <v/>
      </c>
      <c r="D7" s="2">
        <f>IFERROR(VLOOKUP(A7, MASTER_UPL_LIST!$A$2:$D$100, 3, FALSE), 0)</f>
        <v/>
      </c>
      <c r="E7" s="3" t="n">
        <v>0</v>
      </c>
      <c r="F7" s="2">
        <f>D7*(1+E7)</f>
        <v/>
      </c>
      <c r="G7" s="2">
        <f>C7*F7</f>
        <v/>
      </c>
    </row>
    <row r="8">
      <c r="B8">
        <f>IFERROR(VLOOKUP(A8, MASTER_UPL_LIST!$A$2:$D$100, 2, FALSE), "")</f>
        <v/>
      </c>
      <c r="D8" s="2">
        <f>IFERROR(VLOOKUP(A8, MASTER_UPL_LIST!$A$2:$D$100, 3, FALSE), 0)</f>
        <v/>
      </c>
      <c r="E8" s="3" t="n">
        <v>0</v>
      </c>
      <c r="F8" s="2">
        <f>D8*(1+E8)</f>
        <v/>
      </c>
      <c r="G8" s="2">
        <f>C8*F8</f>
        <v/>
      </c>
    </row>
    <row r="9">
      <c r="B9">
        <f>IFERROR(VLOOKUP(A9, MASTER_UPL_LIST!$A$2:$D$100, 2, FALSE), "")</f>
        <v/>
      </c>
      <c r="D9" s="2">
        <f>IFERROR(VLOOKUP(A9, MASTER_UPL_LIST!$A$2:$D$100, 3, FALSE), 0)</f>
        <v/>
      </c>
      <c r="E9" s="3" t="n">
        <v>0</v>
      </c>
      <c r="F9" s="2">
        <f>D9*(1+E9)</f>
        <v/>
      </c>
      <c r="G9" s="2">
        <f>C9*F9</f>
        <v/>
      </c>
    </row>
    <row r="10">
      <c r="B10">
        <f>IFERROR(VLOOKUP(A10, MASTER_UPL_LIST!$A$2:$D$100, 2, FALSE), "")</f>
        <v/>
      </c>
      <c r="D10" s="2">
        <f>IFERROR(VLOOKUP(A10, MASTER_UPL_LIST!$A$2:$D$100, 3, FALSE), 0)</f>
        <v/>
      </c>
      <c r="E10" s="3" t="n">
        <v>0</v>
      </c>
      <c r="F10" s="2">
        <f>D10*(1+E10)</f>
        <v/>
      </c>
      <c r="G10" s="2">
        <f>C10*F10</f>
        <v/>
      </c>
    </row>
    <row r="11">
      <c r="B11">
        <f>IFERROR(VLOOKUP(A11, MASTER_UPL_LIST!$A$2:$D$100, 2, FALSE), "")</f>
        <v/>
      </c>
      <c r="D11" s="2">
        <f>IFERROR(VLOOKUP(A11, MASTER_UPL_LIST!$A$2:$D$100, 3, FALSE), 0)</f>
        <v/>
      </c>
      <c r="E11" s="3" t="n">
        <v>0</v>
      </c>
      <c r="F11" s="2">
        <f>D11*(1+E11)</f>
        <v/>
      </c>
      <c r="G11" s="2">
        <f>C11*F11</f>
        <v/>
      </c>
    </row>
    <row r="12">
      <c r="B12">
        <f>IFERROR(VLOOKUP(A12, MASTER_UPL_LIST!$A$2:$D$100, 2, FALSE), "")</f>
        <v/>
      </c>
      <c r="D12" s="2">
        <f>IFERROR(VLOOKUP(A12, MASTER_UPL_LIST!$A$2:$D$100, 3, FALSE), 0)</f>
        <v/>
      </c>
      <c r="E12" s="3" t="n">
        <v>0</v>
      </c>
      <c r="F12" s="2">
        <f>D12*(1+E12)</f>
        <v/>
      </c>
      <c r="G12" s="2">
        <f>C12*F12</f>
        <v/>
      </c>
    </row>
    <row r="13">
      <c r="B13">
        <f>IFERROR(VLOOKUP(A13, MASTER_UPL_LIST!$A$2:$D$100, 2, FALSE), "")</f>
        <v/>
      </c>
      <c r="D13" s="2">
        <f>IFERROR(VLOOKUP(A13, MASTER_UPL_LIST!$A$2:$D$100, 3, FALSE), 0)</f>
        <v/>
      </c>
      <c r="E13" s="3" t="n">
        <v>0</v>
      </c>
      <c r="F13" s="2">
        <f>D13*(1+E13)</f>
        <v/>
      </c>
      <c r="G13" s="2">
        <f>C13*F13</f>
        <v/>
      </c>
    </row>
    <row r="14">
      <c r="B14">
        <f>IFERROR(VLOOKUP(A14, MASTER_UPL_LIST!$A$2:$D$100, 2, FALSE), "")</f>
        <v/>
      </c>
      <c r="D14" s="2">
        <f>IFERROR(VLOOKUP(A14, MASTER_UPL_LIST!$A$2:$D$100, 3, FALSE), 0)</f>
        <v/>
      </c>
      <c r="E14" s="3" t="n">
        <v>0</v>
      </c>
      <c r="F14" s="2">
        <f>D14*(1+E14)</f>
        <v/>
      </c>
      <c r="G14" s="2">
        <f>C14*F14</f>
        <v/>
      </c>
    </row>
    <row r="15">
      <c r="B15">
        <f>IFERROR(VLOOKUP(A15, MASTER_UPL_LIST!$A$2:$D$100, 2, FALSE), "")</f>
        <v/>
      </c>
      <c r="D15" s="2">
        <f>IFERROR(VLOOKUP(A15, MASTER_UPL_LIST!$A$2:$D$100, 3, FALSE), 0)</f>
        <v/>
      </c>
      <c r="E15" s="3" t="n">
        <v>0</v>
      </c>
      <c r="F15" s="2">
        <f>D15*(1+E15)</f>
        <v/>
      </c>
      <c r="G15" s="2">
        <f>C15*F15</f>
        <v/>
      </c>
    </row>
    <row r="16">
      <c r="B16">
        <f>IFERROR(VLOOKUP(A16, MASTER_UPL_LIST!$A$2:$D$100, 2, FALSE), "")</f>
        <v/>
      </c>
      <c r="D16" s="2">
        <f>IFERROR(VLOOKUP(A16, MASTER_UPL_LIST!$A$2:$D$100, 3, FALSE), 0)</f>
        <v/>
      </c>
      <c r="E16" s="3" t="n">
        <v>0</v>
      </c>
      <c r="F16" s="2">
        <f>D16*(1+E16)</f>
        <v/>
      </c>
      <c r="G16" s="2">
        <f>C16*F16</f>
        <v/>
      </c>
    </row>
    <row r="17">
      <c r="B17">
        <f>IFERROR(VLOOKUP(A17, MASTER_UPL_LIST!$A$2:$D$100, 2, FALSE), "")</f>
        <v/>
      </c>
      <c r="D17" s="2">
        <f>IFERROR(VLOOKUP(A17, MASTER_UPL_LIST!$A$2:$D$100, 3, FALSE), 0)</f>
        <v/>
      </c>
      <c r="E17" s="3" t="n">
        <v>0</v>
      </c>
      <c r="F17" s="2">
        <f>D17*(1+E17)</f>
        <v/>
      </c>
      <c r="G17" s="2">
        <f>C17*F17</f>
        <v/>
      </c>
    </row>
    <row r="18">
      <c r="B18">
        <f>IFERROR(VLOOKUP(A18, MASTER_UPL_LIST!$A$2:$D$100, 2, FALSE), "")</f>
        <v/>
      </c>
      <c r="D18" s="2">
        <f>IFERROR(VLOOKUP(A18, MASTER_UPL_LIST!$A$2:$D$100, 3, FALSE), 0)</f>
        <v/>
      </c>
      <c r="E18" s="3" t="n">
        <v>0</v>
      </c>
      <c r="F18" s="2">
        <f>D18*(1+E18)</f>
        <v/>
      </c>
      <c r="G18" s="2">
        <f>C18*F18</f>
        <v/>
      </c>
    </row>
    <row r="19">
      <c r="B19">
        <f>IFERROR(VLOOKUP(A19, MASTER_UPL_LIST!$A$2:$D$100, 2, FALSE), "")</f>
        <v/>
      </c>
      <c r="D19" s="2">
        <f>IFERROR(VLOOKUP(A19, MASTER_UPL_LIST!$A$2:$D$100, 3, FALSE), 0)</f>
        <v/>
      </c>
      <c r="E19" s="3" t="n">
        <v>0</v>
      </c>
      <c r="F19" s="2">
        <f>D19*(1+E19)</f>
        <v/>
      </c>
      <c r="G19" s="2">
        <f>C19*F19</f>
        <v/>
      </c>
    </row>
    <row r="20">
      <c r="B20">
        <f>IFERROR(VLOOKUP(A20, MASTER_UPL_LIST!$A$2:$D$100, 2, FALSE), "")</f>
        <v/>
      </c>
      <c r="D20" s="2">
        <f>IFERROR(VLOOKUP(A20, MASTER_UPL_LIST!$A$2:$D$100, 3, FALSE), 0)</f>
        <v/>
      </c>
      <c r="E20" s="3" t="n">
        <v>0</v>
      </c>
      <c r="F20" s="2">
        <f>D20*(1+E20)</f>
        <v/>
      </c>
      <c r="G20" s="2">
        <f>C20*F20</f>
        <v/>
      </c>
    </row>
    <row r="21">
      <c r="B21">
        <f>IFERROR(VLOOKUP(A21, MASTER_UPL_LIST!$A$2:$D$100, 2, FALSE), "")</f>
        <v/>
      </c>
      <c r="D21" s="2">
        <f>IFERROR(VLOOKUP(A21, MASTER_UPL_LIST!$A$2:$D$100, 3, FALSE), 0)</f>
        <v/>
      </c>
      <c r="E21" s="3" t="n">
        <v>0</v>
      </c>
      <c r="F21" s="2">
        <f>D21*(1+E21)</f>
        <v/>
      </c>
      <c r="G21" s="2">
        <f>C21*F21</f>
        <v/>
      </c>
    </row>
    <row r="22">
      <c r="B22">
        <f>IFERROR(VLOOKUP(A22, MASTER_UPL_LIST!$A$2:$D$100, 2, FALSE), "")</f>
        <v/>
      </c>
      <c r="D22" s="2">
        <f>IFERROR(VLOOKUP(A22, MASTER_UPL_LIST!$A$2:$D$100, 3, FALSE), 0)</f>
        <v/>
      </c>
      <c r="E22" s="3" t="n">
        <v>0</v>
      </c>
      <c r="F22" s="2">
        <f>D22*(1+E22)</f>
        <v/>
      </c>
      <c r="G22" s="2">
        <f>C22*F22</f>
        <v/>
      </c>
    </row>
    <row r="23">
      <c r="B23">
        <f>IFERROR(VLOOKUP(A23, MASTER_UPL_LIST!$A$2:$D$100, 2, FALSE), "")</f>
        <v/>
      </c>
      <c r="D23" s="2">
        <f>IFERROR(VLOOKUP(A23, MASTER_UPL_LIST!$A$2:$D$100, 3, FALSE), 0)</f>
        <v/>
      </c>
      <c r="E23" s="3" t="n">
        <v>0</v>
      </c>
      <c r="F23" s="2">
        <f>D23*(1+E23)</f>
        <v/>
      </c>
      <c r="G23" s="2">
        <f>C23*F23</f>
        <v/>
      </c>
    </row>
    <row r="24">
      <c r="B24">
        <f>IFERROR(VLOOKUP(A24, MASTER_UPL_LIST!$A$2:$D$100, 2, FALSE), "")</f>
        <v/>
      </c>
      <c r="D24" s="2">
        <f>IFERROR(VLOOKUP(A24, MASTER_UPL_LIST!$A$2:$D$100, 3, FALSE), 0)</f>
        <v/>
      </c>
      <c r="E24" s="3" t="n">
        <v>0</v>
      </c>
      <c r="F24" s="2">
        <f>D24*(1+E24)</f>
        <v/>
      </c>
      <c r="G24" s="2">
        <f>C24*F24</f>
        <v/>
      </c>
    </row>
    <row r="25">
      <c r="B25">
        <f>IFERROR(VLOOKUP(A25, MASTER_UPL_LIST!$A$2:$D$100, 2, FALSE), "")</f>
        <v/>
      </c>
      <c r="D25" s="2">
        <f>IFERROR(VLOOKUP(A25, MASTER_UPL_LIST!$A$2:$D$100, 3, FALSE), 0)</f>
        <v/>
      </c>
      <c r="E25" s="3" t="n">
        <v>0</v>
      </c>
      <c r="F25" s="2">
        <f>D25*(1+E25)</f>
        <v/>
      </c>
      <c r="G25" s="2">
        <f>C25*F25</f>
        <v/>
      </c>
    </row>
    <row r="26">
      <c r="B26">
        <f>IFERROR(VLOOKUP(A26, MASTER_UPL_LIST!$A$2:$D$100, 2, FALSE), "")</f>
        <v/>
      </c>
      <c r="D26" s="2">
        <f>IFERROR(VLOOKUP(A26, MASTER_UPL_LIST!$A$2:$D$100, 3, FALSE), 0)</f>
        <v/>
      </c>
      <c r="E26" s="3" t="n">
        <v>0</v>
      </c>
      <c r="F26" s="2">
        <f>D26*(1+E26)</f>
        <v/>
      </c>
      <c r="G26" s="2">
        <f>C26*F26</f>
        <v/>
      </c>
    </row>
    <row r="27">
      <c r="B27">
        <f>IFERROR(VLOOKUP(A27, MASTER_UPL_LIST!$A$2:$D$100, 2, FALSE), "")</f>
        <v/>
      </c>
      <c r="D27" s="2">
        <f>IFERROR(VLOOKUP(A27, MASTER_UPL_LIST!$A$2:$D$100, 3, FALSE), 0)</f>
        <v/>
      </c>
      <c r="E27" s="3" t="n">
        <v>0</v>
      </c>
      <c r="F27" s="2">
        <f>D27*(1+E27)</f>
        <v/>
      </c>
      <c r="G27" s="2">
        <f>C27*F27</f>
        <v/>
      </c>
    </row>
    <row r="28">
      <c r="B28">
        <f>IFERROR(VLOOKUP(A28, MASTER_UPL_LIST!$A$2:$D$100, 2, FALSE), "")</f>
        <v/>
      </c>
      <c r="D28" s="2">
        <f>IFERROR(VLOOKUP(A28, MASTER_UPL_LIST!$A$2:$D$100, 3, FALSE), 0)</f>
        <v/>
      </c>
      <c r="E28" s="3" t="n">
        <v>0</v>
      </c>
      <c r="F28" s="2">
        <f>D28*(1+E28)</f>
        <v/>
      </c>
      <c r="G28" s="2">
        <f>C28*F28</f>
        <v/>
      </c>
    </row>
    <row r="29">
      <c r="B29">
        <f>IFERROR(VLOOKUP(A29, MASTER_UPL_LIST!$A$2:$D$100, 2, FALSE), "")</f>
        <v/>
      </c>
      <c r="D29" s="2">
        <f>IFERROR(VLOOKUP(A29, MASTER_UPL_LIST!$A$2:$D$100, 3, FALSE), 0)</f>
        <v/>
      </c>
      <c r="E29" s="3" t="n">
        <v>0</v>
      </c>
      <c r="F29" s="2">
        <f>D29*(1+E29)</f>
        <v/>
      </c>
      <c r="G29" s="2">
        <f>C29*F29</f>
        <v/>
      </c>
    </row>
    <row r="30">
      <c r="B30">
        <f>IFERROR(VLOOKUP(A30, MASTER_UPL_LIST!$A$2:$D$100, 2, FALSE), "")</f>
        <v/>
      </c>
      <c r="D30" s="2">
        <f>IFERROR(VLOOKUP(A30, MASTER_UPL_LIST!$A$2:$D$100, 3, FALSE), 0)</f>
        <v/>
      </c>
      <c r="E30" s="3" t="n">
        <v>0</v>
      </c>
      <c r="F30" s="2">
        <f>D30*(1+E30)</f>
        <v/>
      </c>
      <c r="G30" s="2">
        <f>C30*F30</f>
        <v/>
      </c>
    </row>
    <row r="31">
      <c r="B31">
        <f>IFERROR(VLOOKUP(A31, MASTER_UPL_LIST!$A$2:$D$100, 2, FALSE), "")</f>
        <v/>
      </c>
      <c r="D31" s="2">
        <f>IFERROR(VLOOKUP(A31, MASTER_UPL_LIST!$A$2:$D$100, 3, FALSE), 0)</f>
        <v/>
      </c>
      <c r="E31" s="3" t="n">
        <v>0</v>
      </c>
      <c r="F31" s="2">
        <f>D31*(1+E31)</f>
        <v/>
      </c>
      <c r="G31" s="2">
        <f>C31*F31</f>
        <v/>
      </c>
    </row>
    <row r="32">
      <c r="B32">
        <f>IFERROR(VLOOKUP(A32, MASTER_UPL_LIST!$A$2:$D$100, 2, FALSE), "")</f>
        <v/>
      </c>
      <c r="D32" s="2">
        <f>IFERROR(VLOOKUP(A32, MASTER_UPL_LIST!$A$2:$D$100, 3, FALSE), 0)</f>
        <v/>
      </c>
      <c r="E32" s="3" t="n">
        <v>0</v>
      </c>
      <c r="F32" s="2">
        <f>D32*(1+E32)</f>
        <v/>
      </c>
      <c r="G32" s="2">
        <f>C32*F32</f>
        <v/>
      </c>
    </row>
    <row r="33">
      <c r="B33">
        <f>IFERROR(VLOOKUP(A33, MASTER_UPL_LIST!$A$2:$D$100, 2, FALSE), "")</f>
        <v/>
      </c>
      <c r="D33" s="2">
        <f>IFERROR(VLOOKUP(A33, MASTER_UPL_LIST!$A$2:$D$100, 3, FALSE), 0)</f>
        <v/>
      </c>
      <c r="E33" s="3" t="n">
        <v>0</v>
      </c>
      <c r="F33" s="2">
        <f>D33*(1+E33)</f>
        <v/>
      </c>
      <c r="G33" s="2">
        <f>C33*F33</f>
        <v/>
      </c>
    </row>
    <row r="34">
      <c r="B34">
        <f>IFERROR(VLOOKUP(A34, MASTER_UPL_LIST!$A$2:$D$100, 2, FALSE), "")</f>
        <v/>
      </c>
      <c r="D34" s="2">
        <f>IFERROR(VLOOKUP(A34, MASTER_UPL_LIST!$A$2:$D$100, 3, FALSE), 0)</f>
        <v/>
      </c>
      <c r="E34" s="3" t="n">
        <v>0</v>
      </c>
      <c r="F34" s="2">
        <f>D34*(1+E34)</f>
        <v/>
      </c>
      <c r="G34" s="2">
        <f>C34*F34</f>
        <v/>
      </c>
    </row>
    <row r="35">
      <c r="B35">
        <f>IFERROR(VLOOKUP(A35, MASTER_UPL_LIST!$A$2:$D$100, 2, FALSE), "")</f>
        <v/>
      </c>
      <c r="D35" s="2">
        <f>IFERROR(VLOOKUP(A35, MASTER_UPL_LIST!$A$2:$D$100, 3, FALSE), 0)</f>
        <v/>
      </c>
      <c r="E35" s="3" t="n">
        <v>0</v>
      </c>
      <c r="F35" s="2">
        <f>D35*(1+E35)</f>
        <v/>
      </c>
      <c r="G35" s="2">
        <f>C35*F35</f>
        <v/>
      </c>
    </row>
    <row r="36">
      <c r="B36">
        <f>IFERROR(VLOOKUP(A36, MASTER_UPL_LIST!$A$2:$D$100, 2, FALSE), "")</f>
        <v/>
      </c>
      <c r="D36" s="2">
        <f>IFERROR(VLOOKUP(A36, MASTER_UPL_LIST!$A$2:$D$100, 3, FALSE), 0)</f>
        <v/>
      </c>
      <c r="E36" s="3" t="n">
        <v>0</v>
      </c>
      <c r="F36" s="2">
        <f>D36*(1+E36)</f>
        <v/>
      </c>
      <c r="G36" s="2">
        <f>C36*F36</f>
        <v/>
      </c>
    </row>
    <row r="37">
      <c r="B37">
        <f>IFERROR(VLOOKUP(A37, MASTER_UPL_LIST!$A$2:$D$100, 2, FALSE), "")</f>
        <v/>
      </c>
      <c r="D37" s="2">
        <f>IFERROR(VLOOKUP(A37, MASTER_UPL_LIST!$A$2:$D$100, 3, FALSE), 0)</f>
        <v/>
      </c>
      <c r="E37" s="3" t="n">
        <v>0</v>
      </c>
      <c r="F37" s="2">
        <f>D37*(1+E37)</f>
        <v/>
      </c>
      <c r="G37" s="2">
        <f>C37*F37</f>
        <v/>
      </c>
    </row>
    <row r="38">
      <c r="B38">
        <f>IFERROR(VLOOKUP(A38, MASTER_UPL_LIST!$A$2:$D$100, 2, FALSE), "")</f>
        <v/>
      </c>
      <c r="D38" s="2">
        <f>IFERROR(VLOOKUP(A38, MASTER_UPL_LIST!$A$2:$D$100, 3, FALSE), 0)</f>
        <v/>
      </c>
      <c r="E38" s="3" t="n">
        <v>0</v>
      </c>
      <c r="F38" s="2">
        <f>D38*(1+E38)</f>
        <v/>
      </c>
      <c r="G38" s="2">
        <f>C38*F38</f>
        <v/>
      </c>
    </row>
    <row r="39">
      <c r="B39">
        <f>IFERROR(VLOOKUP(A39, MASTER_UPL_LIST!$A$2:$D$100, 2, FALSE), "")</f>
        <v/>
      </c>
      <c r="D39" s="2">
        <f>IFERROR(VLOOKUP(A39, MASTER_UPL_LIST!$A$2:$D$100, 3, FALSE), 0)</f>
        <v/>
      </c>
      <c r="E39" s="3" t="n">
        <v>0</v>
      </c>
      <c r="F39" s="2">
        <f>D39*(1+E39)</f>
        <v/>
      </c>
      <c r="G39" s="2">
        <f>C39*F39</f>
        <v/>
      </c>
    </row>
    <row r="40">
      <c r="B40">
        <f>IFERROR(VLOOKUP(A40, MASTER_UPL_LIST!$A$2:$D$100, 2, FALSE), "")</f>
        <v/>
      </c>
      <c r="D40" s="2">
        <f>IFERROR(VLOOKUP(A40, MASTER_UPL_LIST!$A$2:$D$100, 3, FALSE), 0)</f>
        <v/>
      </c>
      <c r="E40" s="3" t="n">
        <v>0</v>
      </c>
      <c r="F40" s="2">
        <f>D40*(1+E40)</f>
        <v/>
      </c>
      <c r="G40" s="2">
        <f>C40*F40</f>
        <v/>
      </c>
    </row>
    <row r="41">
      <c r="B41">
        <f>IFERROR(VLOOKUP(A41, MASTER_UPL_LIST!$A$2:$D$100, 2, FALSE), "")</f>
        <v/>
      </c>
      <c r="D41" s="2">
        <f>IFERROR(VLOOKUP(A41, MASTER_UPL_LIST!$A$2:$D$100, 3, FALSE), 0)</f>
        <v/>
      </c>
      <c r="E41" s="3" t="n">
        <v>0</v>
      </c>
      <c r="F41" s="2">
        <f>D41*(1+E41)</f>
        <v/>
      </c>
      <c r="G41" s="2">
        <f>C41*F41</f>
        <v/>
      </c>
    </row>
    <row r="42">
      <c r="B42">
        <f>IFERROR(VLOOKUP(A42, MASTER_UPL_LIST!$A$2:$D$100, 2, FALSE), "")</f>
        <v/>
      </c>
      <c r="D42" s="2">
        <f>IFERROR(VLOOKUP(A42, MASTER_UPL_LIST!$A$2:$D$100, 3, FALSE), 0)</f>
        <v/>
      </c>
      <c r="E42" s="3" t="n">
        <v>0</v>
      </c>
      <c r="F42" s="2">
        <f>D42*(1+E42)</f>
        <v/>
      </c>
      <c r="G42" s="2">
        <f>C42*F42</f>
        <v/>
      </c>
    </row>
    <row r="43">
      <c r="B43">
        <f>IFERROR(VLOOKUP(A43, MASTER_UPL_LIST!$A$2:$D$100, 2, FALSE), "")</f>
        <v/>
      </c>
      <c r="D43" s="2">
        <f>IFERROR(VLOOKUP(A43, MASTER_UPL_LIST!$A$2:$D$100, 3, FALSE), 0)</f>
        <v/>
      </c>
      <c r="E43" s="3" t="n">
        <v>0</v>
      </c>
      <c r="F43" s="2">
        <f>D43*(1+E43)</f>
        <v/>
      </c>
      <c r="G43" s="2">
        <f>C43*F43</f>
        <v/>
      </c>
    </row>
    <row r="44">
      <c r="B44">
        <f>IFERROR(VLOOKUP(A44, MASTER_UPL_LIST!$A$2:$D$100, 2, FALSE), "")</f>
        <v/>
      </c>
      <c r="D44" s="2">
        <f>IFERROR(VLOOKUP(A44, MASTER_UPL_LIST!$A$2:$D$100, 3, FALSE), 0)</f>
        <v/>
      </c>
      <c r="E44" s="3" t="n">
        <v>0</v>
      </c>
      <c r="F44" s="2">
        <f>D44*(1+E44)</f>
        <v/>
      </c>
      <c r="G44" s="2">
        <f>C44*F44</f>
        <v/>
      </c>
    </row>
    <row r="45">
      <c r="B45">
        <f>IFERROR(VLOOKUP(A45, MASTER_UPL_LIST!$A$2:$D$100, 2, FALSE), "")</f>
        <v/>
      </c>
      <c r="D45" s="2">
        <f>IFERROR(VLOOKUP(A45, MASTER_UPL_LIST!$A$2:$D$100, 3, FALSE), 0)</f>
        <v/>
      </c>
      <c r="E45" s="3" t="n">
        <v>0</v>
      </c>
      <c r="F45" s="2">
        <f>D45*(1+E45)</f>
        <v/>
      </c>
      <c r="G45" s="2">
        <f>C45*F45</f>
        <v/>
      </c>
    </row>
    <row r="46">
      <c r="B46">
        <f>IFERROR(VLOOKUP(A46, MASTER_UPL_LIST!$A$2:$D$100, 2, FALSE), "")</f>
        <v/>
      </c>
      <c r="D46" s="2">
        <f>IFERROR(VLOOKUP(A46, MASTER_UPL_LIST!$A$2:$D$100, 3, FALSE), 0)</f>
        <v/>
      </c>
      <c r="E46" s="3" t="n">
        <v>0</v>
      </c>
      <c r="F46" s="2">
        <f>D46*(1+E46)</f>
        <v/>
      </c>
      <c r="G46" s="2">
        <f>C46*F46</f>
        <v/>
      </c>
    </row>
    <row r="47">
      <c r="B47">
        <f>IFERROR(VLOOKUP(A47, MASTER_UPL_LIST!$A$2:$D$100, 2, FALSE), "")</f>
        <v/>
      </c>
      <c r="D47" s="2">
        <f>IFERROR(VLOOKUP(A47, MASTER_UPL_LIST!$A$2:$D$100, 3, FALSE), 0)</f>
        <v/>
      </c>
      <c r="E47" s="3" t="n">
        <v>0</v>
      </c>
      <c r="F47" s="2">
        <f>D47*(1+E47)</f>
        <v/>
      </c>
      <c r="G47" s="2">
        <f>C47*F47</f>
        <v/>
      </c>
    </row>
    <row r="48">
      <c r="B48">
        <f>IFERROR(VLOOKUP(A48, MASTER_UPL_LIST!$A$2:$D$100, 2, FALSE), "")</f>
        <v/>
      </c>
      <c r="D48" s="2">
        <f>IFERROR(VLOOKUP(A48, MASTER_UPL_LIST!$A$2:$D$100, 3, FALSE), 0)</f>
        <v/>
      </c>
      <c r="E48" s="3" t="n">
        <v>0</v>
      </c>
      <c r="F48" s="2">
        <f>D48*(1+E48)</f>
        <v/>
      </c>
      <c r="G48" s="2">
        <f>C48*F48</f>
        <v/>
      </c>
    </row>
    <row r="49">
      <c r="B49">
        <f>IFERROR(VLOOKUP(A49, MASTER_UPL_LIST!$A$2:$D$100, 2, FALSE), "")</f>
        <v/>
      </c>
      <c r="D49" s="2">
        <f>IFERROR(VLOOKUP(A49, MASTER_UPL_LIST!$A$2:$D$100, 3, FALSE), 0)</f>
        <v/>
      </c>
      <c r="E49" s="3" t="n">
        <v>0</v>
      </c>
      <c r="F49" s="2">
        <f>D49*(1+E49)</f>
        <v/>
      </c>
      <c r="G49" s="2">
        <f>C49*F49</f>
        <v/>
      </c>
    </row>
    <row r="50">
      <c r="B50">
        <f>IFERROR(VLOOKUP(A50, MASTER_UPL_LIST!$A$2:$D$100, 2, FALSE), "")</f>
        <v/>
      </c>
      <c r="D50" s="2">
        <f>IFERROR(VLOOKUP(A50, MASTER_UPL_LIST!$A$2:$D$100, 3, FALSE), 0)</f>
        <v/>
      </c>
      <c r="E50" s="3" t="n">
        <v>0</v>
      </c>
      <c r="F50" s="2">
        <f>D50*(1+E50)</f>
        <v/>
      </c>
      <c r="G50" s="2">
        <f>C50*F50</f>
        <v/>
      </c>
    </row>
  </sheetData>
  <dataValidations count="1">
    <dataValidation sqref="A2:A50" showDropDown="0" showInputMessage="0" showErrorMessage="0" allowBlank="1" type="list">
      <formula1>MASTER_UPL_LIST!$A$2:$A$100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2026-05-12T19:52:14Z</dcterms:created>
  <dcterms:modified xsi:type="dcterms:W3CDTF">2026-05-12T19:52:14Z</dcterms:modified>
</cp:coreProperties>
</file>