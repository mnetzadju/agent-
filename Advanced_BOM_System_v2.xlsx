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_MASTER" sheetId="1" state="visible" r:id="rId1"/>
    <sheet name="BOM_PROJ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Part_ID</t>
        </is>
      </c>
      <c r="B1" s="1" t="inlineStr">
        <is>
          <t>Description</t>
        </is>
      </c>
      <c r="C1" s="1" t="inlineStr">
        <is>
          <t>Unit_Cost</t>
        </is>
      </c>
      <c r="D1" s="1" t="inlineStr">
        <is>
          <t>Initial_Stock</t>
        </is>
      </c>
      <c r="E1" s="1" t="inlineStr">
        <is>
          <t>Total_Used</t>
        </is>
      </c>
      <c r="F1" s="1" t="inlineStr">
        <is>
          <t>NET_STOCK_REMAINING</t>
        </is>
      </c>
    </row>
    <row r="2">
      <c r="A2" t="inlineStr">
        <is>
          <t>P-101</t>
        </is>
      </c>
      <c r="B2" t="inlineStr">
        <is>
          <t>Processor</t>
        </is>
      </c>
      <c r="C2" t="n">
        <v>350</v>
      </c>
      <c r="D2" t="n">
        <v>10</v>
      </c>
      <c r="E2">
        <f>SUMIF(BOM_PROJECT!$B$2:$B$100, A2, BOM_PROJECT!$C$2:$C$100)</f>
        <v/>
      </c>
      <c r="F2" s="2">
        <f>D2-E2</f>
        <v/>
      </c>
    </row>
    <row r="3">
      <c r="A3" t="inlineStr">
        <is>
          <t>P-102</t>
        </is>
      </c>
      <c r="B3" t="inlineStr">
        <is>
          <t>RAM 16GB</t>
        </is>
      </c>
      <c r="C3" t="n">
        <v>85</v>
      </c>
      <c r="D3" t="n">
        <v>20</v>
      </c>
      <c r="E3">
        <f>SUMIF(BOM_PROJECT!$B$2:$B$100, A3, BOM_PROJECT!$C$2:$C$100)</f>
        <v/>
      </c>
      <c r="F3" s="2">
        <f>D3-E3</f>
        <v/>
      </c>
    </row>
    <row r="4">
      <c r="A4" t="inlineStr">
        <is>
          <t>P-103</t>
        </is>
      </c>
      <c r="B4" t="inlineStr">
        <is>
          <t>SSD 512GB</t>
        </is>
      </c>
      <c r="C4" t="n">
        <v>120</v>
      </c>
      <c r="D4" t="n">
        <v>15</v>
      </c>
      <c r="E4">
        <f>SUMIF(BOM_PROJECT!$B$2:$B$100, A4, BOM_PROJECT!$C$2:$C$100)</f>
        <v/>
      </c>
      <c r="F4" s="2">
        <f>D4-E4</f>
        <v/>
      </c>
    </row>
    <row r="5">
      <c r="A5" t="inlineStr">
        <is>
          <t>P-104</t>
        </is>
      </c>
      <c r="B5" t="inlineStr">
        <is>
          <t>PSU 650W</t>
        </is>
      </c>
      <c r="C5" t="n">
        <v>95</v>
      </c>
      <c r="D5" t="n">
        <v>10</v>
      </c>
      <c r="E5">
        <f>SUMIF(BOM_PROJECT!$B$2:$B$100, A5, BOM_PROJECT!$C$2:$C$100)</f>
        <v/>
      </c>
      <c r="F5" s="2">
        <f>D5-E5</f>
        <v/>
      </c>
    </row>
    <row r="6">
      <c r="A6" t="inlineStr">
        <is>
          <t>P-105</t>
        </is>
      </c>
      <c r="B6" t="inlineStr">
        <is>
          <t>Case</t>
        </is>
      </c>
      <c r="C6" t="n">
        <v>65</v>
      </c>
      <c r="D6" t="n">
        <v>10</v>
      </c>
      <c r="E6">
        <f>SUMIF(BOM_PROJECT!$B$2:$B$100, A6, BOM_PROJECT!$C$2:$C$100)</f>
        <v/>
      </c>
      <c r="F6" s="2">
        <f>D6-E6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Project_Item</t>
        </is>
      </c>
      <c r="B1" s="1" t="inlineStr">
        <is>
          <t>Part_ID</t>
        </is>
      </c>
      <c r="C1" s="1" t="inlineStr">
        <is>
          <t>Qty_Needed</t>
        </is>
      </c>
      <c r="D1" s="1" t="inlineStr">
        <is>
          <t>Unit_Cost (Dynamic)</t>
        </is>
      </c>
      <c r="E1" s="1" t="inlineStr">
        <is>
          <t>Total_Cost (Auto)</t>
        </is>
      </c>
    </row>
    <row r="2">
      <c r="A2" t="inlineStr">
        <is>
          <t>Main PC</t>
        </is>
      </c>
      <c r="B2" t="inlineStr">
        <is>
          <t>P-101</t>
        </is>
      </c>
      <c r="C2" t="n">
        <v>1</v>
      </c>
      <c r="D2">
        <f>VLOOKUP(B2, PARTS_MASTER!$A$2:$C$10, 3, FALSE)</f>
        <v/>
      </c>
      <c r="E2" s="3">
        <f>C2*D2</f>
        <v/>
      </c>
    </row>
    <row r="3">
      <c r="A3" t="inlineStr">
        <is>
          <t>Sub-System</t>
        </is>
      </c>
      <c r="B3" t="inlineStr">
        <is>
          <t>P-102</t>
        </is>
      </c>
      <c r="C3" t="n">
        <v>2</v>
      </c>
      <c r="D3">
        <f>VLOOKUP(B3, PARTS_MASTER!$A$2:$C$10, 3, FALSE)</f>
        <v/>
      </c>
      <c r="E3" s="3">
        <f>C3*D3</f>
        <v/>
      </c>
    </row>
    <row r="4">
      <c r="A4" t="inlineStr">
        <is>
          <t>Spare</t>
        </is>
      </c>
      <c r="B4" t="inlineStr">
        <is>
          <t>P-103</t>
        </is>
      </c>
      <c r="C4" t="n">
        <v>1</v>
      </c>
      <c r="D4">
        <f>VLOOKUP(B4, PARTS_MASTER!$A$2:$C$10, 3, FALSE)</f>
        <v/>
      </c>
      <c r="E4" s="3">
        <f>C4*D4</f>
        <v/>
      </c>
    </row>
    <row r="5">
      <c r="A5" t="inlineStr">
        <is>
          <t>Build 1</t>
        </is>
      </c>
      <c r="B5" t="inlineStr">
        <is>
          <t>P-104</t>
        </is>
      </c>
      <c r="C5" t="n">
        <v>1</v>
      </c>
      <c r="D5">
        <f>VLOOKUP(B5, PARTS_MASTER!$A$2:$C$10, 3, FALSE)</f>
        <v/>
      </c>
      <c r="E5" s="3">
        <f>C5*D5</f>
        <v/>
      </c>
    </row>
    <row r="6">
      <c r="A6" t="inlineStr">
        <is>
          <t>Build 2</t>
        </is>
      </c>
      <c r="B6" t="inlineStr">
        <is>
          <t>P-105</t>
        </is>
      </c>
      <c r="C6" t="n">
        <v>1</v>
      </c>
      <c r="D6">
        <f>VLOOKUP(B6, PARTS_MASTER!$A$2:$C$10, 3, FALSE)</f>
        <v/>
      </c>
      <c r="E6" s="3">
        <f>C6*D6</f>
        <v/>
      </c>
    </row>
    <row r="7">
      <c r="A7" t="inlineStr">
        <is>
          <t>Build 3</t>
        </is>
      </c>
      <c r="B7" t="inlineStr">
        <is>
          <t>P-102</t>
        </is>
      </c>
      <c r="C7" t="n">
        <v>4</v>
      </c>
      <c r="D7">
        <f>VLOOKUP(B7, PARTS_MASTER!$A$2:$C$10, 3, FALSE)</f>
        <v/>
      </c>
      <c r="E7" s="3">
        <f>C7*D7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2026-05-06T13:27:59Z</dcterms:created>
  <dcterms:modified xsi:type="dcterms:W3CDTF">2026-05-06T13:27:59Z</dcterms:modified>
</cp:coreProperties>
</file>