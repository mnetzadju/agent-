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985" activeTab="3"/>
  </bookViews>
  <sheets>
    <sheet name="COMMAND_DASHBOARD" sheetId="1" r:id="rId1"/>
    <sheet name="DATA_REF" sheetId="2" r:id="rId2"/>
    <sheet name="BOM_RECEIPT" sheetId="3" r:id="rId3"/>
    <sheet name="IP_PLANNER" sheetId="4" r:id="rId4"/>
  </sheets>
  <calcPr calcId="152511"/>
</workbook>
</file>

<file path=xl/calcChain.xml><?xml version="1.0" encoding="utf-8"?>
<calcChain xmlns="http://schemas.openxmlformats.org/spreadsheetml/2006/main">
  <c r="H9" i="3" l="1"/>
  <c r="H7" i="3"/>
  <c r="G9" i="3"/>
  <c r="G7" i="3"/>
  <c r="H6" i="3"/>
  <c r="G8" i="3"/>
  <c r="H8" i="3"/>
  <c r="G6" i="3"/>
  <c r="I8" i="3" l="1"/>
  <c r="I6" i="3"/>
  <c r="I7" i="3"/>
  <c r="I9" i="3"/>
</calcChain>
</file>

<file path=xl/sharedStrings.xml><?xml version="1.0" encoding="utf-8"?>
<sst xmlns="http://schemas.openxmlformats.org/spreadsheetml/2006/main" count="43" uniqueCount="42">
  <si>
    <t>??? NETWORK ENGINEER'S ULTIMATE TOOLBOX</t>
  </si>
  <si>
    <t>QUICK TOOLS:</t>
  </si>
  <si>
    <t>-&gt; BOM &amp; RECEIPT GENERATOR</t>
  </si>
  <si>
    <t>-&gt; IP SUBNET PLANNER</t>
  </si>
  <si>
    <t>-&gt; ASSET &amp; LICENSE TRACKER</t>
  </si>
  <si>
    <t>Item_ID</t>
  </si>
  <si>
    <t>Description</t>
  </si>
  <si>
    <t>Unit_Price</t>
  </si>
  <si>
    <t>ACT-01</t>
  </si>
  <si>
    <t>Cisco C9200L-24T-4G</t>
  </si>
  <si>
    <t>ACT-02</t>
  </si>
  <si>
    <t>FortiGate 60F</t>
  </si>
  <si>
    <t>PAS-01</t>
  </si>
  <si>
    <t>Cat6 UTP Box</t>
  </si>
  <si>
    <t>PAS-02</t>
  </si>
  <si>
    <t>Panduit Patch Panel</t>
  </si>
  <si>
    <t>RECEIPT</t>
  </si>
  <si>
    <t>VALUE</t>
  </si>
  <si>
    <t>CUSTOMER:</t>
  </si>
  <si>
    <t>Client Name</t>
  </si>
  <si>
    <t>PROJECT:</t>
  </si>
  <si>
    <t>Site Expansion</t>
  </si>
  <si>
    <t>DATE:</t>
  </si>
  <si>
    <t>2026-05-06</t>
  </si>
  <si>
    <t>ITEM_ID</t>
  </si>
  <si>
    <t>QTY</t>
  </si>
  <si>
    <t>DESCRIPTION</t>
  </si>
  <si>
    <t>UNIT_PRICE</t>
  </si>
  <si>
    <t>TOTAL</t>
  </si>
  <si>
    <t>VLAN_ID</t>
  </si>
  <si>
    <t>Department</t>
  </si>
  <si>
    <t>Network_Address</t>
  </si>
  <si>
    <t>Gateway</t>
  </si>
  <si>
    <t>Users</t>
  </si>
  <si>
    <t>192.168.10.0/24</t>
  </si>
  <si>
    <t>192.168.10.1</t>
  </si>
  <si>
    <t>Servers</t>
  </si>
  <si>
    <t>192.168.20.0/24</t>
  </si>
  <si>
    <t>192.168.20.1</t>
  </si>
  <si>
    <t>Voice</t>
  </si>
  <si>
    <t>10.0.30.0/24</t>
  </si>
  <si>
    <t>10.0.30.1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</si>
</sst>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1F4E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57" sqref="B57"/>
    </sheetView>
  </sheetViews>
  <sheetFormatPr defaultRowHeight="15" x14ac:dyDescent="0.25"/>
  <cols>
    <col min="1" max="1" width="25" customWidth="1"/>
    <col min="2" max="2" width="71.7109375" bestFit="1" customWidth="1"/>
  </cols>
  <sheetData>
    <row r="2" spans="2:2" ht="23.25" x14ac:dyDescent="0.35">
      <c r="B2" s="1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25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 t="s">
        <v>9</v>
      </c>
      <c r="C2">
        <v>2500</v>
      </c>
    </row>
    <row r="3" spans="1:3" x14ac:dyDescent="0.25">
      <c r="A3" t="s">
        <v>10</v>
      </c>
      <c r="B3" t="s">
        <v>11</v>
      </c>
      <c r="C3">
        <v>1200</v>
      </c>
    </row>
    <row r="4" spans="1:3" x14ac:dyDescent="0.25">
      <c r="A4" t="s">
        <v>12</v>
      </c>
      <c r="B4" t="s">
        <v>13</v>
      </c>
      <c r="C4">
        <v>180</v>
      </c>
    </row>
    <row r="5" spans="1:3" x14ac:dyDescent="0.25">
      <c r="A5" t="s">
        <v>14</v>
      </c>
      <c r="B5" t="s">
        <v>15</v>
      </c>
      <c r="C5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18" sqref="C18"/>
    </sheetView>
  </sheetViews>
  <sheetFormatPr defaultRowHeight="15" x14ac:dyDescent="0.25"/>
  <cols>
    <col min="1" max="9" width="25" customWidth="1"/>
  </cols>
  <sheetData>
    <row r="1" spans="1:9" x14ac:dyDescent="0.25">
      <c r="A1" t="s">
        <v>16</v>
      </c>
      <c r="B1" t="s">
        <v>17</v>
      </c>
    </row>
    <row r="2" spans="1:9" x14ac:dyDescent="0.25">
      <c r="A2" t="s">
        <v>18</v>
      </c>
      <c r="B2" t="s">
        <v>19</v>
      </c>
    </row>
    <row r="3" spans="1:9" x14ac:dyDescent="0.25">
      <c r="A3" t="s">
        <v>20</v>
      </c>
      <c r="B3" t="s">
        <v>21</v>
      </c>
    </row>
    <row r="4" spans="1:9" x14ac:dyDescent="0.25">
      <c r="A4" t="s">
        <v>22</v>
      </c>
      <c r="B4" t="s">
        <v>23</v>
      </c>
    </row>
    <row r="5" spans="1:9" x14ac:dyDescent="0.25">
      <c r="E5" s="2"/>
      <c r="F5" s="2"/>
      <c r="G5" s="2"/>
      <c r="H5" s="2"/>
      <c r="I5" s="2"/>
    </row>
    <row r="6" spans="1:9" x14ac:dyDescent="0.25">
      <c r="A6" t="s">
        <v>24</v>
      </c>
      <c r="B6" t="s">
        <v>8</v>
      </c>
      <c r="E6" s="3"/>
      <c r="F6" s="3"/>
      <c r="G6" s="3" t="str">
        <f ca="1">IFERROR(XLOOKUP(E6, DATA_REF!A:A, DATA_REF!B:B), "")</f>
        <v/>
      </c>
      <c r="H6" s="3">
        <f ca="1">IFERROR(XLOOKUP(E6, DATA_REF!A:A, DATA_REF!C:C), 0)</f>
        <v>0</v>
      </c>
      <c r="I6" s="3">
        <f ca="1">F6*H6</f>
        <v>0</v>
      </c>
    </row>
    <row r="7" spans="1:9" x14ac:dyDescent="0.25">
      <c r="A7" t="s">
        <v>25</v>
      </c>
      <c r="B7">
        <v>2</v>
      </c>
      <c r="E7" s="3"/>
      <c r="F7" s="3"/>
      <c r="G7" s="3" t="str">
        <f ca="1">IFERROR(XLOOKUP(E7, DATA_REF!A:A, DATA_REF!B:B), "")</f>
        <v/>
      </c>
      <c r="H7" s="3">
        <f ca="1">IFERROR(XLOOKUP(E7, DATA_REF!A:A, DATA_REF!C:C), 0)</f>
        <v>0</v>
      </c>
      <c r="I7" s="3">
        <f ca="1">F7*H7</f>
        <v>0</v>
      </c>
    </row>
    <row r="8" spans="1:9" x14ac:dyDescent="0.25">
      <c r="A8" t="s">
        <v>26</v>
      </c>
      <c r="E8" s="3"/>
      <c r="F8" s="3"/>
      <c r="G8" s="3" t="str">
        <f ca="1">IFERROR(XLOOKUP(E8, DATA_REF!A:A, DATA_REF!B:B), "")</f>
        <v/>
      </c>
      <c r="H8" s="3">
        <f ca="1">IFERROR(XLOOKUP(E8, DATA_REF!A:A, DATA_REF!C:C), 0)</f>
        <v>0</v>
      </c>
      <c r="I8" s="3">
        <f ca="1">F8*H8</f>
        <v>0</v>
      </c>
    </row>
    <row r="9" spans="1:9" x14ac:dyDescent="0.25">
      <c r="A9" t="s">
        <v>27</v>
      </c>
      <c r="E9" s="3"/>
      <c r="F9" s="3"/>
      <c r="G9" s="3" t="str">
        <f ca="1">IFERROR(XLOOKUP(E9, DATA_REF!A:A, DATA_REF!B:B), "")</f>
        <v/>
      </c>
      <c r="H9" s="3">
        <f ca="1">IFERROR(XLOOKUP(E9, DATA_REF!A:A, DATA_REF!C:C), 0)</f>
        <v>0</v>
      </c>
      <c r="I9" s="3">
        <f ca="1">F9*H9</f>
        <v>0</v>
      </c>
    </row>
    <row r="10" spans="1:9" x14ac:dyDescent="0.25">
      <c r="A10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cols>
    <col min="1" max="4" width="25" customWidth="1"/>
  </cols>
  <sheetData>
    <row r="1" spans="1:4" x14ac:dyDescent="0.25">
      <c r="A1" t="s">
        <v>29</v>
      </c>
      <c r="B1" t="s">
        <v>30</v>
      </c>
      <c r="C1" t="s">
        <v>31</v>
      </c>
      <c r="D1" t="s">
        <v>32</v>
      </c>
    </row>
    <row r="2" spans="1:4" x14ac:dyDescent="0.25">
      <c r="A2">
        <v>10</v>
      </c>
      <c r="B2" t="s">
        <v>33</v>
      </c>
      <c r="C2" t="s">
        <v>34</v>
      </c>
      <c r="D2" t="s">
        <v>35</v>
      </c>
    </row>
    <row r="3" spans="1:4" x14ac:dyDescent="0.25">
      <c r="A3">
        <v>20</v>
      </c>
      <c r="B3" t="s">
        <v>36</v>
      </c>
      <c r="C3" t="s">
        <v>37</v>
      </c>
      <c r="D3" t="s">
        <v>38</v>
      </c>
    </row>
    <row r="4" spans="1:4" x14ac:dyDescent="0.25">
      <c r="A4">
        <v>30</v>
      </c>
      <c r="B4" t="s">
        <v>39</v>
      </c>
      <c r="C4" t="s">
        <v>40</v>
      </c>
      <c r="D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COMMAND_DASHBOARD</vt:lpstr>
      <vt:lpstr>DATA_REF</vt:lpstr>
      <vt:lpstr>BOM_RECEIPT</vt:lpstr>
      <vt:lpstr>IP_PLANNER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2026-05-06T21:37:52Z</dcterms:created>
  <dcterms:modified xsi:type="dcterms:W3CDTF">2026-05-06T21:49:20Z</dcterms:modified>
</cp:coreProperties>
</file>