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580" activeTab="1"/>
  </bookViews>
  <sheets>
    <sheet name="MASTER_PRICE_LIST" sheetId="1" r:id="rId1"/>
    <sheet name="BOQ_ENGINE" sheetId="2" r:id="rId2"/>
  </sheets>
  <calcPr calcId="152511"/>
</workbook>
</file>

<file path=xl/calcChain.xml><?xml version="1.0" encoding="utf-8"?>
<calcChain xmlns="http://schemas.openxmlformats.org/spreadsheetml/2006/main">
  <c r="E103" i="2" l="1"/>
  <c r="C103" i="2"/>
  <c r="E102" i="2"/>
  <c r="C102" i="2"/>
  <c r="E101" i="2"/>
  <c r="C101" i="2"/>
  <c r="E100" i="2"/>
  <c r="F103" i="2" s="1"/>
  <c r="C100" i="2"/>
  <c r="E99" i="2"/>
  <c r="F102" i="2" s="1"/>
  <c r="C99" i="2"/>
  <c r="E98" i="2"/>
  <c r="F101" i="2" s="1"/>
  <c r="C98" i="2"/>
  <c r="E97" i="2"/>
  <c r="F100" i="2" s="1"/>
  <c r="C97" i="2"/>
  <c r="E96" i="2"/>
  <c r="F99" i="2" s="1"/>
  <c r="C96" i="2"/>
  <c r="E95" i="2"/>
  <c r="F98" i="2" s="1"/>
  <c r="C95" i="2"/>
  <c r="E94" i="2"/>
  <c r="F97" i="2" s="1"/>
  <c r="C94" i="2"/>
  <c r="E93" i="2"/>
  <c r="F96" i="2" s="1"/>
  <c r="C93" i="2"/>
  <c r="E92" i="2"/>
  <c r="F95" i="2" s="1"/>
  <c r="C92" i="2"/>
  <c r="E91" i="2"/>
  <c r="F94" i="2" s="1"/>
  <c r="C91" i="2"/>
  <c r="E90" i="2"/>
  <c r="F93" i="2" s="1"/>
  <c r="C90" i="2"/>
  <c r="E89" i="2"/>
  <c r="F92" i="2" s="1"/>
  <c r="C89" i="2"/>
  <c r="E88" i="2"/>
  <c r="F91" i="2" s="1"/>
  <c r="C88" i="2"/>
  <c r="E87" i="2"/>
  <c r="F90" i="2" s="1"/>
  <c r="C87" i="2"/>
  <c r="E86" i="2"/>
  <c r="F89" i="2" s="1"/>
  <c r="C86" i="2"/>
  <c r="E85" i="2"/>
  <c r="F88" i="2" s="1"/>
  <c r="C85" i="2"/>
  <c r="E84" i="2"/>
  <c r="F87" i="2" s="1"/>
  <c r="C84" i="2"/>
  <c r="E83" i="2"/>
  <c r="F86" i="2" s="1"/>
  <c r="C83" i="2"/>
  <c r="E82" i="2"/>
  <c r="F85" i="2" s="1"/>
  <c r="C82" i="2"/>
  <c r="E81" i="2"/>
  <c r="F84" i="2" s="1"/>
  <c r="C81" i="2"/>
  <c r="E80" i="2"/>
  <c r="F83" i="2" s="1"/>
  <c r="C80" i="2"/>
  <c r="E79" i="2"/>
  <c r="F82" i="2" s="1"/>
  <c r="C79" i="2"/>
  <c r="E78" i="2"/>
  <c r="F81" i="2" s="1"/>
  <c r="C78" i="2"/>
  <c r="E77" i="2"/>
  <c r="F80" i="2" s="1"/>
  <c r="C77" i="2"/>
  <c r="E76" i="2"/>
  <c r="F79" i="2" s="1"/>
  <c r="C76" i="2"/>
  <c r="E75" i="2"/>
  <c r="F78" i="2" s="1"/>
  <c r="C75" i="2"/>
  <c r="E74" i="2"/>
  <c r="F77" i="2" s="1"/>
  <c r="C74" i="2"/>
  <c r="E73" i="2"/>
  <c r="F76" i="2" s="1"/>
  <c r="C73" i="2"/>
  <c r="E72" i="2"/>
  <c r="F75" i="2" s="1"/>
  <c r="C72" i="2"/>
  <c r="E71" i="2"/>
  <c r="F74" i="2" s="1"/>
  <c r="C71" i="2"/>
  <c r="E70" i="2"/>
  <c r="F73" i="2" s="1"/>
  <c r="C70" i="2"/>
  <c r="E69" i="2"/>
  <c r="F72" i="2" s="1"/>
  <c r="C69" i="2"/>
  <c r="E68" i="2"/>
  <c r="F71" i="2" s="1"/>
  <c r="C68" i="2"/>
  <c r="E67" i="2"/>
  <c r="F70" i="2" s="1"/>
  <c r="C67" i="2"/>
  <c r="E66" i="2"/>
  <c r="F69" i="2" s="1"/>
  <c r="C66" i="2"/>
  <c r="E65" i="2"/>
  <c r="F68" i="2" s="1"/>
  <c r="C65" i="2"/>
  <c r="E64" i="2"/>
  <c r="F67" i="2" s="1"/>
  <c r="C64" i="2"/>
  <c r="E63" i="2"/>
  <c r="F66" i="2" s="1"/>
  <c r="C63" i="2"/>
  <c r="E62" i="2"/>
  <c r="F65" i="2" s="1"/>
  <c r="C62" i="2"/>
  <c r="E61" i="2"/>
  <c r="F64" i="2" s="1"/>
  <c r="C61" i="2"/>
  <c r="E60" i="2"/>
  <c r="F63" i="2" s="1"/>
  <c r="C60" i="2"/>
  <c r="E59" i="2"/>
  <c r="F62" i="2" s="1"/>
  <c r="C59" i="2"/>
  <c r="E58" i="2"/>
  <c r="F61" i="2" s="1"/>
  <c r="C58" i="2"/>
  <c r="E57" i="2"/>
  <c r="F60" i="2" s="1"/>
  <c r="C57" i="2"/>
  <c r="E56" i="2"/>
  <c r="F59" i="2" s="1"/>
  <c r="C56" i="2"/>
  <c r="E55" i="2"/>
  <c r="F58" i="2" s="1"/>
  <c r="C55" i="2"/>
  <c r="E54" i="2"/>
  <c r="F57" i="2" s="1"/>
  <c r="C54" i="2"/>
  <c r="E53" i="2"/>
  <c r="F56" i="2" s="1"/>
  <c r="C53" i="2"/>
  <c r="E52" i="2"/>
  <c r="F55" i="2" s="1"/>
  <c r="C52" i="2"/>
  <c r="E51" i="2"/>
  <c r="F54" i="2" s="1"/>
  <c r="C51" i="2"/>
  <c r="E50" i="2"/>
  <c r="F53" i="2" s="1"/>
  <c r="C50" i="2"/>
  <c r="E49" i="2"/>
  <c r="F52" i="2" s="1"/>
  <c r="C49" i="2"/>
  <c r="E48" i="2"/>
  <c r="F51" i="2" s="1"/>
  <c r="C48" i="2"/>
  <c r="E47" i="2"/>
  <c r="F50" i="2" s="1"/>
  <c r="C47" i="2"/>
  <c r="E46" i="2"/>
  <c r="F49" i="2" s="1"/>
  <c r="C46" i="2"/>
  <c r="E45" i="2"/>
  <c r="F48" i="2" s="1"/>
  <c r="C45" i="2"/>
  <c r="E44" i="2"/>
  <c r="F47" i="2" s="1"/>
  <c r="C44" i="2"/>
  <c r="E43" i="2"/>
  <c r="F46" i="2" s="1"/>
  <c r="C43" i="2"/>
  <c r="E42" i="2"/>
  <c r="F45" i="2" s="1"/>
  <c r="C42" i="2"/>
  <c r="E41" i="2"/>
  <c r="F44" i="2" s="1"/>
  <c r="C41" i="2"/>
  <c r="E40" i="2"/>
  <c r="F43" i="2" s="1"/>
  <c r="C40" i="2"/>
  <c r="E39" i="2"/>
  <c r="F42" i="2" s="1"/>
  <c r="C39" i="2"/>
  <c r="E38" i="2"/>
  <c r="F41" i="2" s="1"/>
  <c r="C38" i="2"/>
  <c r="E37" i="2"/>
  <c r="F40" i="2" s="1"/>
  <c r="C37" i="2"/>
  <c r="E36" i="2"/>
  <c r="F39" i="2" s="1"/>
  <c r="C36" i="2"/>
  <c r="E35" i="2"/>
  <c r="F38" i="2" s="1"/>
  <c r="C35" i="2"/>
  <c r="E34" i="2"/>
  <c r="F37" i="2" s="1"/>
  <c r="C34" i="2"/>
  <c r="E33" i="2"/>
  <c r="F36" i="2" s="1"/>
  <c r="C33" i="2"/>
  <c r="E32" i="2"/>
  <c r="F35" i="2" s="1"/>
  <c r="C32" i="2"/>
  <c r="E31" i="2"/>
  <c r="F34" i="2" s="1"/>
  <c r="C31" i="2"/>
  <c r="E30" i="2"/>
  <c r="F33" i="2" s="1"/>
  <c r="C30" i="2"/>
  <c r="E29" i="2"/>
  <c r="F32" i="2" s="1"/>
  <c r="C29" i="2"/>
  <c r="E28" i="2"/>
  <c r="F31" i="2" s="1"/>
  <c r="C28" i="2"/>
  <c r="E27" i="2"/>
  <c r="F30" i="2" s="1"/>
  <c r="C27" i="2"/>
  <c r="E26" i="2"/>
  <c r="F29" i="2" s="1"/>
  <c r="C26" i="2"/>
  <c r="E25" i="2"/>
  <c r="F28" i="2" s="1"/>
  <c r="C25" i="2"/>
  <c r="E24" i="2"/>
  <c r="F27" i="2" s="1"/>
  <c r="C24" i="2"/>
  <c r="E23" i="2"/>
  <c r="F26" i="2" s="1"/>
  <c r="C23" i="2"/>
  <c r="E22" i="2"/>
  <c r="F25" i="2" s="1"/>
  <c r="C22" i="2"/>
  <c r="E21" i="2"/>
  <c r="F24" i="2" s="1"/>
  <c r="C21" i="2"/>
  <c r="E20" i="2"/>
  <c r="F23" i="2" s="1"/>
  <c r="C20" i="2"/>
  <c r="E19" i="2"/>
  <c r="F22" i="2" s="1"/>
  <c r="C19" i="2"/>
  <c r="E18" i="2"/>
  <c r="F21" i="2" s="1"/>
  <c r="C18" i="2"/>
  <c r="E17" i="2"/>
  <c r="F20" i="2" s="1"/>
  <c r="C17" i="2"/>
  <c r="E16" i="2"/>
  <c r="F19" i="2" s="1"/>
  <c r="C16" i="2"/>
  <c r="E15" i="2"/>
  <c r="F18" i="2" s="1"/>
  <c r="C15" i="2"/>
  <c r="E14" i="2"/>
  <c r="F17" i="2" s="1"/>
  <c r="C14" i="2"/>
  <c r="E13" i="2"/>
  <c r="F16" i="2" s="1"/>
  <c r="C13" i="2"/>
  <c r="E12" i="2"/>
  <c r="F15" i="2" s="1"/>
  <c r="C12" i="2"/>
  <c r="E11" i="2"/>
  <c r="F14" i="2" s="1"/>
  <c r="C11" i="2"/>
  <c r="E10" i="2"/>
  <c r="F13" i="2" s="1"/>
  <c r="C10" i="2"/>
  <c r="E9" i="2"/>
  <c r="F12" i="2" s="1"/>
  <c r="C9" i="2"/>
  <c r="E8" i="2"/>
  <c r="F11" i="2" s="1"/>
  <c r="C8" i="2"/>
  <c r="F7" i="2"/>
  <c r="E7" i="2"/>
  <c r="F10" i="2" s="1"/>
  <c r="C7" i="2"/>
  <c r="F6" i="2"/>
  <c r="E6" i="2"/>
  <c r="F9" i="2" s="1"/>
  <c r="C6" i="2"/>
  <c r="F5" i="2"/>
  <c r="F2" i="2" s="1"/>
  <c r="E5" i="2"/>
  <c r="F8" i="2" s="1"/>
  <c r="C5" i="2"/>
</calcChain>
</file>

<file path=xl/sharedStrings.xml><?xml version="1.0" encoding="utf-8"?>
<sst xmlns="http://schemas.openxmlformats.org/spreadsheetml/2006/main" count="32" uniqueCount="27">
  <si>
    <t>PART_NUMBER</t>
  </si>
  <si>
    <t>DESCRIPTION</t>
  </si>
  <si>
    <t>UNIT_COST</t>
  </si>
  <si>
    <t>CISCO-9200L</t>
  </si>
  <si>
    <t>Cisco 24-Port Switch</t>
  </si>
  <si>
    <t>FORTI-60F</t>
  </si>
  <si>
    <t>FortiGate Firewall</t>
  </si>
  <si>
    <t>ARUBA-AP505</t>
  </si>
  <si>
    <t>Aruba Access Point</t>
  </si>
  <si>
    <t>PANDUIT-CAT6</t>
  </si>
  <si>
    <t>Cat6 UTP Cable Box</t>
  </si>
  <si>
    <t>APC-42U-RACK</t>
  </si>
  <si>
    <t>APC Data Cabinet</t>
  </si>
  <si>
    <t>LABOR-NST</t>
  </si>
  <si>
    <t>Installation Labor</t>
  </si>
  <si>
    <t>SVC-CONFIG</t>
  </si>
  <si>
    <t>Network Config Service</t>
  </si>
  <si>
    <t>FIXED AUTOMATED NETWORK BOQ ENGINE</t>
  </si>
  <si>
    <t>GRAND TOTAL:</t>
  </si>
  <si>
    <t>CATEGORY</t>
  </si>
  <si>
    <t>DESCRIPTION (AUTO)</t>
  </si>
  <si>
    <t>QTY</t>
  </si>
  <si>
    <t>UNIT_COST (AUTO)</t>
  </si>
  <si>
    <t>LINE_TOTAL (AUTO)</t>
  </si>
  <si>
    <t>Active</t>
  </si>
  <si>
    <t>Passive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</si>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</sst>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4"/>
      <color rgb="FFFF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60" zoomScaleNormal="160" workbookViewId="0"/>
  </sheetViews>
  <sheetFormatPr defaultRowHeight="15" x14ac:dyDescent="0.25"/>
  <cols>
    <col min="1" max="1" width="14.42578125" bestFit="1" customWidth="1"/>
    <col min="2" max="2" width="2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2850</v>
      </c>
    </row>
    <row r="3" spans="1:3" x14ac:dyDescent="0.25">
      <c r="A3" t="s">
        <v>5</v>
      </c>
      <c r="B3" t="s">
        <v>6</v>
      </c>
      <c r="C3">
        <v>1450</v>
      </c>
    </row>
    <row r="4" spans="1:3" x14ac:dyDescent="0.25">
      <c r="A4" t="s">
        <v>7</v>
      </c>
      <c r="B4" t="s">
        <v>8</v>
      </c>
      <c r="C4">
        <v>480</v>
      </c>
    </row>
    <row r="5" spans="1:3" x14ac:dyDescent="0.25">
      <c r="A5" t="s">
        <v>9</v>
      </c>
      <c r="B5" t="s">
        <v>10</v>
      </c>
      <c r="C5">
        <v>195</v>
      </c>
    </row>
    <row r="6" spans="1:3" x14ac:dyDescent="0.25">
      <c r="A6" t="s">
        <v>11</v>
      </c>
      <c r="B6" t="s">
        <v>12</v>
      </c>
      <c r="C6">
        <v>1250</v>
      </c>
    </row>
    <row r="7" spans="1:3" x14ac:dyDescent="0.25">
      <c r="A7" t="s">
        <v>13</v>
      </c>
      <c r="B7" t="s">
        <v>14</v>
      </c>
      <c r="C7">
        <v>75</v>
      </c>
    </row>
    <row r="8" spans="1:3" x14ac:dyDescent="0.25">
      <c r="A8" t="s">
        <v>15</v>
      </c>
      <c r="B8" t="s">
        <v>16</v>
      </c>
      <c r="C8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zoomScale="160" zoomScaleNormal="160" workbookViewId="0">
      <selection activeCell="E4" sqref="E4"/>
    </sheetView>
  </sheetViews>
  <sheetFormatPr defaultRowHeight="15" x14ac:dyDescent="0.25"/>
  <cols>
    <col min="1" max="6" width="25" customWidth="1"/>
  </cols>
  <sheetData>
    <row r="1" spans="1:6" ht="21" x14ac:dyDescent="0.35">
      <c r="A1" s="1" t="s">
        <v>17</v>
      </c>
    </row>
    <row r="2" spans="1:6" ht="18.75" x14ac:dyDescent="0.3">
      <c r="E2" t="s">
        <v>18</v>
      </c>
      <c r="F2" s="2" t="e">
        <f>SUM(F5:F100)</f>
        <v>#VALUE!</v>
      </c>
    </row>
    <row r="4" spans="1:6" x14ac:dyDescent="0.25">
      <c r="A4" s="3" t="s">
        <v>19</v>
      </c>
      <c r="B4" s="3" t="s">
        <v>0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x14ac:dyDescent="0.25">
      <c r="A5" t="s">
        <v>24</v>
      </c>
      <c r="B5" t="s">
        <v>7</v>
      </c>
      <c r="C5" t="str">
        <f>IFERROR(VLOOKUP(B2, MASTER_PRICE_LIST!$A$2:$C$100, 2, FALSE), "--- Select Part ---")</f>
        <v>--- Select Part ---</v>
      </c>
      <c r="D5">
        <v>1</v>
      </c>
      <c r="E5" s="4">
        <f>IFERROR(VLOOKUP(B2, MASTER_PRICE_LIST!$A$2:$C$100, 3, FALSE), 0)</f>
        <v>0</v>
      </c>
      <c r="F5" s="4" t="e">
        <f t="shared" ref="F5:F36" si="0">D2*E2</f>
        <v>#VALUE!</v>
      </c>
    </row>
    <row r="6" spans="1:6" x14ac:dyDescent="0.25">
      <c r="A6" t="s">
        <v>24</v>
      </c>
      <c r="B6" t="s">
        <v>3</v>
      </c>
      <c r="C6" t="str">
        <f>IFERROR(VLOOKUP(B3, MASTER_PRICE_LIST!$A$2:$C$100, 2, FALSE), "--- Select Part ---")</f>
        <v>--- Select Part ---</v>
      </c>
      <c r="D6">
        <v>1</v>
      </c>
      <c r="E6" s="4">
        <f>IFERROR(VLOOKUP(B3, MASTER_PRICE_LIST!$A$2:$C$100, 3, FALSE), 0)</f>
        <v>0</v>
      </c>
      <c r="F6" s="4">
        <f t="shared" si="0"/>
        <v>0</v>
      </c>
    </row>
    <row r="7" spans="1:6" x14ac:dyDescent="0.25">
      <c r="A7" t="s">
        <v>25</v>
      </c>
      <c r="B7" t="s">
        <v>13</v>
      </c>
      <c r="C7" t="str">
        <f>IFERROR(VLOOKUP(B4, MASTER_PRICE_LIST!$A$2:$C$100, 2, FALSE), "--- Select Part ---")</f>
        <v>--- Select Part ---</v>
      </c>
      <c r="D7">
        <v>1</v>
      </c>
      <c r="E7" s="4">
        <f>IFERROR(VLOOKUP(B4, MASTER_PRICE_LIST!$A$2:$C$100, 3, FALSE), 0)</f>
        <v>0</v>
      </c>
      <c r="F7" s="4" t="e">
        <f t="shared" si="0"/>
        <v>#VALUE!</v>
      </c>
    </row>
    <row r="8" spans="1:6" x14ac:dyDescent="0.25">
      <c r="A8" t="s">
        <v>26</v>
      </c>
      <c r="C8" t="str">
        <f>IFERROR(VLOOKUP(B5, MASTER_PRICE_LIST!$A$2:$C$100, 2, FALSE), "--- Select Part ---")</f>
        <v>Aruba Access Point</v>
      </c>
      <c r="D8">
        <v>1</v>
      </c>
      <c r="E8" s="4">
        <f>IFERROR(VLOOKUP(B5, MASTER_PRICE_LIST!$A$2:$C$100, 3, FALSE), 0)</f>
        <v>480</v>
      </c>
      <c r="F8" s="4">
        <f t="shared" si="0"/>
        <v>0</v>
      </c>
    </row>
    <row r="9" spans="1:6" x14ac:dyDescent="0.25">
      <c r="C9" t="str">
        <f>IFERROR(VLOOKUP(B6, MASTER_PRICE_LIST!$A$2:$C$100, 2, FALSE), "--- Select Part ---")</f>
        <v>Cisco 24-Port Switch</v>
      </c>
      <c r="D9">
        <v>0</v>
      </c>
      <c r="E9" s="4">
        <f>IFERROR(VLOOKUP(B6, MASTER_PRICE_LIST!$A$2:$C$100, 3, FALSE), 0)</f>
        <v>2850</v>
      </c>
      <c r="F9" s="4">
        <f t="shared" si="0"/>
        <v>0</v>
      </c>
    </row>
    <row r="10" spans="1:6" x14ac:dyDescent="0.25">
      <c r="C10" t="str">
        <f>IFERROR(VLOOKUP(B7, MASTER_PRICE_LIST!$A$2:$C$100, 2, FALSE), "--- Select Part ---")</f>
        <v>Installation Labor</v>
      </c>
      <c r="D10">
        <v>0</v>
      </c>
      <c r="E10" s="4">
        <f>IFERROR(VLOOKUP(B7, MASTER_PRICE_LIST!$A$2:$C$100, 3, FALSE), 0)</f>
        <v>75</v>
      </c>
      <c r="F10" s="4">
        <f t="shared" si="0"/>
        <v>0</v>
      </c>
    </row>
    <row r="11" spans="1:6" x14ac:dyDescent="0.25">
      <c r="C11" t="str">
        <f>IFERROR(VLOOKUP(B8, MASTER_PRICE_LIST!$A$2:$C$100, 2, FALSE), "--- Select Part ---")</f>
        <v>--- Select Part ---</v>
      </c>
      <c r="D11">
        <v>0</v>
      </c>
      <c r="E11" s="4">
        <f>IFERROR(VLOOKUP(B8, MASTER_PRICE_LIST!$A$2:$C$100, 3, FALSE), 0)</f>
        <v>0</v>
      </c>
      <c r="F11" s="4">
        <f t="shared" si="0"/>
        <v>480</v>
      </c>
    </row>
    <row r="12" spans="1:6" x14ac:dyDescent="0.25">
      <c r="C12" t="str">
        <f>IFERROR(VLOOKUP(B9, MASTER_PRICE_LIST!$A$2:$C$100, 2, FALSE), "--- Select Part ---")</f>
        <v>--- Select Part ---</v>
      </c>
      <c r="E12" s="4">
        <f>IFERROR(VLOOKUP(B9, MASTER_PRICE_LIST!$A$2:$C$100, 3, FALSE), 0)</f>
        <v>0</v>
      </c>
      <c r="F12" s="4">
        <f t="shared" si="0"/>
        <v>0</v>
      </c>
    </row>
    <row r="13" spans="1:6" x14ac:dyDescent="0.25">
      <c r="C13" t="str">
        <f>IFERROR(VLOOKUP(B10, MASTER_PRICE_LIST!$A$2:$C$100, 2, FALSE), "--- Select Part ---")</f>
        <v>--- Select Part ---</v>
      </c>
      <c r="E13" s="4">
        <f>IFERROR(VLOOKUP(B10, MASTER_PRICE_LIST!$A$2:$C$100, 3, FALSE), 0)</f>
        <v>0</v>
      </c>
      <c r="F13" s="4">
        <f t="shared" si="0"/>
        <v>0</v>
      </c>
    </row>
    <row r="14" spans="1:6" x14ac:dyDescent="0.25">
      <c r="C14" t="str">
        <f>IFERROR(VLOOKUP(B11, MASTER_PRICE_LIST!$A$2:$C$100, 2, FALSE), "--- Select Part ---")</f>
        <v>--- Select Part ---</v>
      </c>
      <c r="E14" s="4">
        <f>IFERROR(VLOOKUP(B11, MASTER_PRICE_LIST!$A$2:$C$100, 3, FALSE), 0)</f>
        <v>0</v>
      </c>
      <c r="F14" s="4">
        <f t="shared" si="0"/>
        <v>0</v>
      </c>
    </row>
    <row r="15" spans="1:6" x14ac:dyDescent="0.25">
      <c r="C15" t="str">
        <f>IFERROR(VLOOKUP(B12, MASTER_PRICE_LIST!$A$2:$C$100, 2, FALSE), "--- Select Part ---")</f>
        <v>--- Select Part ---</v>
      </c>
      <c r="E15" s="4">
        <f>IFERROR(VLOOKUP(B12, MASTER_PRICE_LIST!$A$2:$C$100, 3, FALSE), 0)</f>
        <v>0</v>
      </c>
      <c r="F15" s="4">
        <f t="shared" si="0"/>
        <v>0</v>
      </c>
    </row>
    <row r="16" spans="1:6" x14ac:dyDescent="0.25">
      <c r="C16" t="str">
        <f>IFERROR(VLOOKUP(B13, MASTER_PRICE_LIST!$A$2:$C$100, 2, FALSE), "--- Select Part ---")</f>
        <v>--- Select Part ---</v>
      </c>
      <c r="E16" s="4">
        <f>IFERROR(VLOOKUP(B13, MASTER_PRICE_LIST!$A$2:$C$100, 3, FALSE), 0)</f>
        <v>0</v>
      </c>
      <c r="F16" s="4">
        <f t="shared" si="0"/>
        <v>0</v>
      </c>
    </row>
    <row r="17" spans="3:6" x14ac:dyDescent="0.25">
      <c r="C17" t="str">
        <f>IFERROR(VLOOKUP(B14, MASTER_PRICE_LIST!$A$2:$C$100, 2, FALSE), "--- Select Part ---")</f>
        <v>--- Select Part ---</v>
      </c>
      <c r="E17" s="4">
        <f>IFERROR(VLOOKUP(B14, MASTER_PRICE_LIST!$A$2:$C$100, 3, FALSE), 0)</f>
        <v>0</v>
      </c>
      <c r="F17" s="4">
        <f t="shared" si="0"/>
        <v>0</v>
      </c>
    </row>
    <row r="18" spans="3:6" x14ac:dyDescent="0.25">
      <c r="C18" t="str">
        <f>IFERROR(VLOOKUP(B15, MASTER_PRICE_LIST!$A$2:$C$100, 2, FALSE), "--- Select Part ---")</f>
        <v>--- Select Part ---</v>
      </c>
      <c r="E18" s="4">
        <f>IFERROR(VLOOKUP(B15, MASTER_PRICE_LIST!$A$2:$C$100, 3, FALSE), 0)</f>
        <v>0</v>
      </c>
      <c r="F18" s="4">
        <f t="shared" si="0"/>
        <v>0</v>
      </c>
    </row>
    <row r="19" spans="3:6" x14ac:dyDescent="0.25">
      <c r="C19" t="str">
        <f>IFERROR(VLOOKUP(B16, MASTER_PRICE_LIST!$A$2:$C$100, 2, FALSE), "--- Select Part ---")</f>
        <v>--- Select Part ---</v>
      </c>
      <c r="E19" s="4">
        <f>IFERROR(VLOOKUP(B16, MASTER_PRICE_LIST!$A$2:$C$100, 3, FALSE), 0)</f>
        <v>0</v>
      </c>
      <c r="F19" s="4">
        <f t="shared" si="0"/>
        <v>0</v>
      </c>
    </row>
    <row r="20" spans="3:6" x14ac:dyDescent="0.25">
      <c r="C20" t="str">
        <f>IFERROR(VLOOKUP(B17, MASTER_PRICE_LIST!$A$2:$C$100, 2, FALSE), "--- Select Part ---")</f>
        <v>--- Select Part ---</v>
      </c>
      <c r="E20" s="4">
        <f>IFERROR(VLOOKUP(B17, MASTER_PRICE_LIST!$A$2:$C$100, 3, FALSE), 0)</f>
        <v>0</v>
      </c>
      <c r="F20" s="4">
        <f t="shared" si="0"/>
        <v>0</v>
      </c>
    </row>
    <row r="21" spans="3:6" x14ac:dyDescent="0.25">
      <c r="C21" t="str">
        <f>IFERROR(VLOOKUP(B18, MASTER_PRICE_LIST!$A$2:$C$100, 2, FALSE), "--- Select Part ---")</f>
        <v>--- Select Part ---</v>
      </c>
      <c r="E21" s="4">
        <f>IFERROR(VLOOKUP(B18, MASTER_PRICE_LIST!$A$2:$C$100, 3, FALSE), 0)</f>
        <v>0</v>
      </c>
      <c r="F21" s="4">
        <f t="shared" si="0"/>
        <v>0</v>
      </c>
    </row>
    <row r="22" spans="3:6" x14ac:dyDescent="0.25">
      <c r="C22" t="str">
        <f>IFERROR(VLOOKUP(B19, MASTER_PRICE_LIST!$A$2:$C$100, 2, FALSE), "--- Select Part ---")</f>
        <v>--- Select Part ---</v>
      </c>
      <c r="E22" s="4">
        <f>IFERROR(VLOOKUP(B19, MASTER_PRICE_LIST!$A$2:$C$100, 3, FALSE), 0)</f>
        <v>0</v>
      </c>
      <c r="F22" s="4">
        <f t="shared" si="0"/>
        <v>0</v>
      </c>
    </row>
    <row r="23" spans="3:6" x14ac:dyDescent="0.25">
      <c r="C23" t="str">
        <f>IFERROR(VLOOKUP(B20, MASTER_PRICE_LIST!$A$2:$C$100, 2, FALSE), "--- Select Part ---")</f>
        <v>--- Select Part ---</v>
      </c>
      <c r="E23" s="4">
        <f>IFERROR(VLOOKUP(B20, MASTER_PRICE_LIST!$A$2:$C$100, 3, FALSE), 0)</f>
        <v>0</v>
      </c>
      <c r="F23" s="4">
        <f t="shared" si="0"/>
        <v>0</v>
      </c>
    </row>
    <row r="24" spans="3:6" x14ac:dyDescent="0.25">
      <c r="C24" t="str">
        <f>IFERROR(VLOOKUP(B21, MASTER_PRICE_LIST!$A$2:$C$100, 2, FALSE), "--- Select Part ---")</f>
        <v>--- Select Part ---</v>
      </c>
      <c r="E24" s="4">
        <f>IFERROR(VLOOKUP(B21, MASTER_PRICE_LIST!$A$2:$C$100, 3, FALSE), 0)</f>
        <v>0</v>
      </c>
      <c r="F24" s="4">
        <f t="shared" si="0"/>
        <v>0</v>
      </c>
    </row>
    <row r="25" spans="3:6" x14ac:dyDescent="0.25">
      <c r="C25" t="str">
        <f>IFERROR(VLOOKUP(B22, MASTER_PRICE_LIST!$A$2:$C$100, 2, FALSE), "--- Select Part ---")</f>
        <v>--- Select Part ---</v>
      </c>
      <c r="E25" s="4">
        <f>IFERROR(VLOOKUP(B22, MASTER_PRICE_LIST!$A$2:$C$100, 3, FALSE), 0)</f>
        <v>0</v>
      </c>
      <c r="F25" s="4">
        <f t="shared" si="0"/>
        <v>0</v>
      </c>
    </row>
    <row r="26" spans="3:6" x14ac:dyDescent="0.25">
      <c r="C26" t="str">
        <f>IFERROR(VLOOKUP(B23, MASTER_PRICE_LIST!$A$2:$C$100, 2, FALSE), "--- Select Part ---")</f>
        <v>--- Select Part ---</v>
      </c>
      <c r="E26" s="4">
        <f>IFERROR(VLOOKUP(B23, MASTER_PRICE_LIST!$A$2:$C$100, 3, FALSE), 0)</f>
        <v>0</v>
      </c>
      <c r="F26" s="4">
        <f t="shared" si="0"/>
        <v>0</v>
      </c>
    </row>
    <row r="27" spans="3:6" x14ac:dyDescent="0.25">
      <c r="C27" t="str">
        <f>IFERROR(VLOOKUP(B24, MASTER_PRICE_LIST!$A$2:$C$100, 2, FALSE), "--- Select Part ---")</f>
        <v>--- Select Part ---</v>
      </c>
      <c r="E27" s="4">
        <f>IFERROR(VLOOKUP(B24, MASTER_PRICE_LIST!$A$2:$C$100, 3, FALSE), 0)</f>
        <v>0</v>
      </c>
      <c r="F27" s="4">
        <f t="shared" si="0"/>
        <v>0</v>
      </c>
    </row>
    <row r="28" spans="3:6" x14ac:dyDescent="0.25">
      <c r="C28" t="str">
        <f>IFERROR(VLOOKUP(B25, MASTER_PRICE_LIST!$A$2:$C$100, 2, FALSE), "--- Select Part ---")</f>
        <v>--- Select Part ---</v>
      </c>
      <c r="E28" s="4">
        <f>IFERROR(VLOOKUP(B25, MASTER_PRICE_LIST!$A$2:$C$100, 3, FALSE), 0)</f>
        <v>0</v>
      </c>
      <c r="F28" s="4">
        <f t="shared" si="0"/>
        <v>0</v>
      </c>
    </row>
    <row r="29" spans="3:6" x14ac:dyDescent="0.25">
      <c r="C29" t="str">
        <f>IFERROR(VLOOKUP(B26, MASTER_PRICE_LIST!$A$2:$C$100, 2, FALSE), "--- Select Part ---")</f>
        <v>--- Select Part ---</v>
      </c>
      <c r="E29" s="4">
        <f>IFERROR(VLOOKUP(B26, MASTER_PRICE_LIST!$A$2:$C$100, 3, FALSE), 0)</f>
        <v>0</v>
      </c>
      <c r="F29" s="4">
        <f t="shared" si="0"/>
        <v>0</v>
      </c>
    </row>
    <row r="30" spans="3:6" x14ac:dyDescent="0.25">
      <c r="C30" t="str">
        <f>IFERROR(VLOOKUP(B27, MASTER_PRICE_LIST!$A$2:$C$100, 2, FALSE), "--- Select Part ---")</f>
        <v>--- Select Part ---</v>
      </c>
      <c r="E30" s="4">
        <f>IFERROR(VLOOKUP(B27, MASTER_PRICE_LIST!$A$2:$C$100, 3, FALSE), 0)</f>
        <v>0</v>
      </c>
      <c r="F30" s="4">
        <f t="shared" si="0"/>
        <v>0</v>
      </c>
    </row>
    <row r="31" spans="3:6" x14ac:dyDescent="0.25">
      <c r="C31" t="str">
        <f>IFERROR(VLOOKUP(B28, MASTER_PRICE_LIST!$A$2:$C$100, 2, FALSE), "--- Select Part ---")</f>
        <v>--- Select Part ---</v>
      </c>
      <c r="E31" s="4">
        <f>IFERROR(VLOOKUP(B28, MASTER_PRICE_LIST!$A$2:$C$100, 3, FALSE), 0)</f>
        <v>0</v>
      </c>
      <c r="F31" s="4">
        <f t="shared" si="0"/>
        <v>0</v>
      </c>
    </row>
    <row r="32" spans="3:6" x14ac:dyDescent="0.25">
      <c r="C32" t="str">
        <f>IFERROR(VLOOKUP(B29, MASTER_PRICE_LIST!$A$2:$C$100, 2, FALSE), "--- Select Part ---")</f>
        <v>--- Select Part ---</v>
      </c>
      <c r="E32" s="4">
        <f>IFERROR(VLOOKUP(B29, MASTER_PRICE_LIST!$A$2:$C$100, 3, FALSE), 0)</f>
        <v>0</v>
      </c>
      <c r="F32" s="4">
        <f t="shared" si="0"/>
        <v>0</v>
      </c>
    </row>
    <row r="33" spans="3:6" x14ac:dyDescent="0.25">
      <c r="C33" t="str">
        <f>IFERROR(VLOOKUP(B30, MASTER_PRICE_LIST!$A$2:$C$100, 2, FALSE), "--- Select Part ---")</f>
        <v>--- Select Part ---</v>
      </c>
      <c r="E33" s="4">
        <f>IFERROR(VLOOKUP(B30, MASTER_PRICE_LIST!$A$2:$C$100, 3, FALSE), 0)</f>
        <v>0</v>
      </c>
      <c r="F33" s="4">
        <f t="shared" si="0"/>
        <v>0</v>
      </c>
    </row>
    <row r="34" spans="3:6" x14ac:dyDescent="0.25">
      <c r="C34" t="str">
        <f>IFERROR(VLOOKUP(B31, MASTER_PRICE_LIST!$A$2:$C$100, 2, FALSE), "--- Select Part ---")</f>
        <v>--- Select Part ---</v>
      </c>
      <c r="E34" s="4">
        <f>IFERROR(VLOOKUP(B31, MASTER_PRICE_LIST!$A$2:$C$100, 3, FALSE), 0)</f>
        <v>0</v>
      </c>
      <c r="F34" s="4">
        <f t="shared" si="0"/>
        <v>0</v>
      </c>
    </row>
    <row r="35" spans="3:6" x14ac:dyDescent="0.25">
      <c r="C35" t="str">
        <f>IFERROR(VLOOKUP(B32, MASTER_PRICE_LIST!$A$2:$C$100, 2, FALSE), "--- Select Part ---")</f>
        <v>--- Select Part ---</v>
      </c>
      <c r="E35" s="4">
        <f>IFERROR(VLOOKUP(B32, MASTER_PRICE_LIST!$A$2:$C$100, 3, FALSE), 0)</f>
        <v>0</v>
      </c>
      <c r="F35" s="4">
        <f t="shared" si="0"/>
        <v>0</v>
      </c>
    </row>
    <row r="36" spans="3:6" x14ac:dyDescent="0.25">
      <c r="C36" t="str">
        <f>IFERROR(VLOOKUP(B33, MASTER_PRICE_LIST!$A$2:$C$100, 2, FALSE), "--- Select Part ---")</f>
        <v>--- Select Part ---</v>
      </c>
      <c r="E36" s="4">
        <f>IFERROR(VLOOKUP(B33, MASTER_PRICE_LIST!$A$2:$C$100, 3, FALSE), 0)</f>
        <v>0</v>
      </c>
      <c r="F36" s="4">
        <f t="shared" si="0"/>
        <v>0</v>
      </c>
    </row>
    <row r="37" spans="3:6" x14ac:dyDescent="0.25">
      <c r="C37" t="str">
        <f>IFERROR(VLOOKUP(B34, MASTER_PRICE_LIST!$A$2:$C$100, 2, FALSE), "--- Select Part ---")</f>
        <v>--- Select Part ---</v>
      </c>
      <c r="E37" s="4">
        <f>IFERROR(VLOOKUP(B34, MASTER_PRICE_LIST!$A$2:$C$100, 3, FALSE), 0)</f>
        <v>0</v>
      </c>
      <c r="F37" s="4">
        <f t="shared" ref="F37:F68" si="1">D34*E34</f>
        <v>0</v>
      </c>
    </row>
    <row r="38" spans="3:6" x14ac:dyDescent="0.25">
      <c r="C38" t="str">
        <f>IFERROR(VLOOKUP(B35, MASTER_PRICE_LIST!$A$2:$C$100, 2, FALSE), "--- Select Part ---")</f>
        <v>--- Select Part ---</v>
      </c>
      <c r="E38" s="4">
        <f>IFERROR(VLOOKUP(B35, MASTER_PRICE_LIST!$A$2:$C$100, 3, FALSE), 0)</f>
        <v>0</v>
      </c>
      <c r="F38" s="4">
        <f t="shared" si="1"/>
        <v>0</v>
      </c>
    </row>
    <row r="39" spans="3:6" x14ac:dyDescent="0.25">
      <c r="C39" t="str">
        <f>IFERROR(VLOOKUP(B36, MASTER_PRICE_LIST!$A$2:$C$100, 2, FALSE), "--- Select Part ---")</f>
        <v>--- Select Part ---</v>
      </c>
      <c r="E39" s="4">
        <f>IFERROR(VLOOKUP(B36, MASTER_PRICE_LIST!$A$2:$C$100, 3, FALSE), 0)</f>
        <v>0</v>
      </c>
      <c r="F39" s="4">
        <f t="shared" si="1"/>
        <v>0</v>
      </c>
    </row>
    <row r="40" spans="3:6" x14ac:dyDescent="0.25">
      <c r="C40" t="str">
        <f>IFERROR(VLOOKUP(B37, MASTER_PRICE_LIST!$A$2:$C$100, 2, FALSE), "--- Select Part ---")</f>
        <v>--- Select Part ---</v>
      </c>
      <c r="E40" s="4">
        <f>IFERROR(VLOOKUP(B37, MASTER_PRICE_LIST!$A$2:$C$100, 3, FALSE), 0)</f>
        <v>0</v>
      </c>
      <c r="F40" s="4">
        <f t="shared" si="1"/>
        <v>0</v>
      </c>
    </row>
    <row r="41" spans="3:6" x14ac:dyDescent="0.25">
      <c r="C41" t="str">
        <f>IFERROR(VLOOKUP(B38, MASTER_PRICE_LIST!$A$2:$C$100, 2, FALSE), "--- Select Part ---")</f>
        <v>--- Select Part ---</v>
      </c>
      <c r="E41" s="4">
        <f>IFERROR(VLOOKUP(B38, MASTER_PRICE_LIST!$A$2:$C$100, 3, FALSE), 0)</f>
        <v>0</v>
      </c>
      <c r="F41" s="4">
        <f t="shared" si="1"/>
        <v>0</v>
      </c>
    </row>
    <row r="42" spans="3:6" x14ac:dyDescent="0.25">
      <c r="C42" t="str">
        <f>IFERROR(VLOOKUP(B39, MASTER_PRICE_LIST!$A$2:$C$100, 2, FALSE), "--- Select Part ---")</f>
        <v>--- Select Part ---</v>
      </c>
      <c r="E42" s="4">
        <f>IFERROR(VLOOKUP(B39, MASTER_PRICE_LIST!$A$2:$C$100, 3, FALSE), 0)</f>
        <v>0</v>
      </c>
      <c r="F42" s="4">
        <f t="shared" si="1"/>
        <v>0</v>
      </c>
    </row>
    <row r="43" spans="3:6" x14ac:dyDescent="0.25">
      <c r="C43" t="str">
        <f>IFERROR(VLOOKUP(B40, MASTER_PRICE_LIST!$A$2:$C$100, 2, FALSE), "--- Select Part ---")</f>
        <v>--- Select Part ---</v>
      </c>
      <c r="E43" s="4">
        <f>IFERROR(VLOOKUP(B40, MASTER_PRICE_LIST!$A$2:$C$100, 3, FALSE), 0)</f>
        <v>0</v>
      </c>
      <c r="F43" s="4">
        <f t="shared" si="1"/>
        <v>0</v>
      </c>
    </row>
    <row r="44" spans="3:6" x14ac:dyDescent="0.25">
      <c r="C44" t="str">
        <f>IFERROR(VLOOKUP(B41, MASTER_PRICE_LIST!$A$2:$C$100, 2, FALSE), "--- Select Part ---")</f>
        <v>--- Select Part ---</v>
      </c>
      <c r="E44" s="4">
        <f>IFERROR(VLOOKUP(B41, MASTER_PRICE_LIST!$A$2:$C$100, 3, FALSE), 0)</f>
        <v>0</v>
      </c>
      <c r="F44" s="4">
        <f t="shared" si="1"/>
        <v>0</v>
      </c>
    </row>
    <row r="45" spans="3:6" x14ac:dyDescent="0.25">
      <c r="C45" t="str">
        <f>IFERROR(VLOOKUP(B42, MASTER_PRICE_LIST!$A$2:$C$100, 2, FALSE), "--- Select Part ---")</f>
        <v>--- Select Part ---</v>
      </c>
      <c r="E45" s="4">
        <f>IFERROR(VLOOKUP(B42, MASTER_PRICE_LIST!$A$2:$C$100, 3, FALSE), 0)</f>
        <v>0</v>
      </c>
      <c r="F45" s="4">
        <f t="shared" si="1"/>
        <v>0</v>
      </c>
    </row>
    <row r="46" spans="3:6" x14ac:dyDescent="0.25">
      <c r="C46" t="str">
        <f>IFERROR(VLOOKUP(B43, MASTER_PRICE_LIST!$A$2:$C$100, 2, FALSE), "--- Select Part ---")</f>
        <v>--- Select Part ---</v>
      </c>
      <c r="E46" s="4">
        <f>IFERROR(VLOOKUP(B43, MASTER_PRICE_LIST!$A$2:$C$100, 3, FALSE), 0)</f>
        <v>0</v>
      </c>
      <c r="F46" s="4">
        <f t="shared" si="1"/>
        <v>0</v>
      </c>
    </row>
    <row r="47" spans="3:6" x14ac:dyDescent="0.25">
      <c r="C47" t="str">
        <f>IFERROR(VLOOKUP(B44, MASTER_PRICE_LIST!$A$2:$C$100, 2, FALSE), "--- Select Part ---")</f>
        <v>--- Select Part ---</v>
      </c>
      <c r="E47" s="4">
        <f>IFERROR(VLOOKUP(B44, MASTER_PRICE_LIST!$A$2:$C$100, 3, FALSE), 0)</f>
        <v>0</v>
      </c>
      <c r="F47" s="4">
        <f t="shared" si="1"/>
        <v>0</v>
      </c>
    </row>
    <row r="48" spans="3:6" x14ac:dyDescent="0.25">
      <c r="C48" t="str">
        <f>IFERROR(VLOOKUP(B45, MASTER_PRICE_LIST!$A$2:$C$100, 2, FALSE), "--- Select Part ---")</f>
        <v>--- Select Part ---</v>
      </c>
      <c r="E48" s="4">
        <f>IFERROR(VLOOKUP(B45, MASTER_PRICE_LIST!$A$2:$C$100, 3, FALSE), 0)</f>
        <v>0</v>
      </c>
      <c r="F48" s="4">
        <f t="shared" si="1"/>
        <v>0</v>
      </c>
    </row>
    <row r="49" spans="3:6" x14ac:dyDescent="0.25">
      <c r="C49" t="str">
        <f>IFERROR(VLOOKUP(B46, MASTER_PRICE_LIST!$A$2:$C$100, 2, FALSE), "--- Select Part ---")</f>
        <v>--- Select Part ---</v>
      </c>
      <c r="E49" s="4">
        <f>IFERROR(VLOOKUP(B46, MASTER_PRICE_LIST!$A$2:$C$100, 3, FALSE), 0)</f>
        <v>0</v>
      </c>
      <c r="F49" s="4">
        <f t="shared" si="1"/>
        <v>0</v>
      </c>
    </row>
    <row r="50" spans="3:6" x14ac:dyDescent="0.25">
      <c r="C50" t="str">
        <f>IFERROR(VLOOKUP(B47, MASTER_PRICE_LIST!$A$2:$C$100, 2, FALSE), "--- Select Part ---")</f>
        <v>--- Select Part ---</v>
      </c>
      <c r="E50" s="4">
        <f>IFERROR(VLOOKUP(B47, MASTER_PRICE_LIST!$A$2:$C$100, 3, FALSE), 0)</f>
        <v>0</v>
      </c>
      <c r="F50" s="4">
        <f t="shared" si="1"/>
        <v>0</v>
      </c>
    </row>
    <row r="51" spans="3:6" x14ac:dyDescent="0.25">
      <c r="C51" t="str">
        <f>IFERROR(VLOOKUP(B48, MASTER_PRICE_LIST!$A$2:$C$100, 2, FALSE), "--- Select Part ---")</f>
        <v>--- Select Part ---</v>
      </c>
      <c r="E51" s="4">
        <f>IFERROR(VLOOKUP(B48, MASTER_PRICE_LIST!$A$2:$C$100, 3, FALSE), 0)</f>
        <v>0</v>
      </c>
      <c r="F51" s="4">
        <f t="shared" si="1"/>
        <v>0</v>
      </c>
    </row>
    <row r="52" spans="3:6" x14ac:dyDescent="0.25">
      <c r="C52" t="str">
        <f>IFERROR(VLOOKUP(B49, MASTER_PRICE_LIST!$A$2:$C$100, 2, FALSE), "--- Select Part ---")</f>
        <v>--- Select Part ---</v>
      </c>
      <c r="E52" s="4">
        <f>IFERROR(VLOOKUP(B49, MASTER_PRICE_LIST!$A$2:$C$100, 3, FALSE), 0)</f>
        <v>0</v>
      </c>
      <c r="F52" s="4">
        <f t="shared" si="1"/>
        <v>0</v>
      </c>
    </row>
    <row r="53" spans="3:6" x14ac:dyDescent="0.25">
      <c r="C53" t="str">
        <f>IFERROR(VLOOKUP(B50, MASTER_PRICE_LIST!$A$2:$C$100, 2, FALSE), "--- Select Part ---")</f>
        <v>--- Select Part ---</v>
      </c>
      <c r="E53" s="4">
        <f>IFERROR(VLOOKUP(B50, MASTER_PRICE_LIST!$A$2:$C$100, 3, FALSE), 0)</f>
        <v>0</v>
      </c>
      <c r="F53" s="4">
        <f t="shared" si="1"/>
        <v>0</v>
      </c>
    </row>
    <row r="54" spans="3:6" x14ac:dyDescent="0.25">
      <c r="C54" t="str">
        <f>IFERROR(VLOOKUP(B51, MASTER_PRICE_LIST!$A$2:$C$100, 2, FALSE), "--- Select Part ---")</f>
        <v>--- Select Part ---</v>
      </c>
      <c r="E54" s="4">
        <f>IFERROR(VLOOKUP(B51, MASTER_PRICE_LIST!$A$2:$C$100, 3, FALSE), 0)</f>
        <v>0</v>
      </c>
      <c r="F54" s="4">
        <f t="shared" si="1"/>
        <v>0</v>
      </c>
    </row>
    <row r="55" spans="3:6" x14ac:dyDescent="0.25">
      <c r="C55" t="str">
        <f>IFERROR(VLOOKUP(B52, MASTER_PRICE_LIST!$A$2:$C$100, 2, FALSE), "--- Select Part ---")</f>
        <v>--- Select Part ---</v>
      </c>
      <c r="E55" s="4">
        <f>IFERROR(VLOOKUP(B52, MASTER_PRICE_LIST!$A$2:$C$100, 3, FALSE), 0)</f>
        <v>0</v>
      </c>
      <c r="F55" s="4">
        <f t="shared" si="1"/>
        <v>0</v>
      </c>
    </row>
    <row r="56" spans="3:6" x14ac:dyDescent="0.25">
      <c r="C56" t="str">
        <f>IFERROR(VLOOKUP(B53, MASTER_PRICE_LIST!$A$2:$C$100, 2, FALSE), "--- Select Part ---")</f>
        <v>--- Select Part ---</v>
      </c>
      <c r="E56" s="4">
        <f>IFERROR(VLOOKUP(B53, MASTER_PRICE_LIST!$A$2:$C$100, 3, FALSE), 0)</f>
        <v>0</v>
      </c>
      <c r="F56" s="4">
        <f t="shared" si="1"/>
        <v>0</v>
      </c>
    </row>
    <row r="57" spans="3:6" x14ac:dyDescent="0.25">
      <c r="C57" t="str">
        <f>IFERROR(VLOOKUP(B54, MASTER_PRICE_LIST!$A$2:$C$100, 2, FALSE), "--- Select Part ---")</f>
        <v>--- Select Part ---</v>
      </c>
      <c r="E57" s="4">
        <f>IFERROR(VLOOKUP(B54, MASTER_PRICE_LIST!$A$2:$C$100, 3, FALSE), 0)</f>
        <v>0</v>
      </c>
      <c r="F57" s="4">
        <f t="shared" si="1"/>
        <v>0</v>
      </c>
    </row>
    <row r="58" spans="3:6" x14ac:dyDescent="0.25">
      <c r="C58" t="str">
        <f>IFERROR(VLOOKUP(B55, MASTER_PRICE_LIST!$A$2:$C$100, 2, FALSE), "--- Select Part ---")</f>
        <v>--- Select Part ---</v>
      </c>
      <c r="E58" s="4">
        <f>IFERROR(VLOOKUP(B55, MASTER_PRICE_LIST!$A$2:$C$100, 3, FALSE), 0)</f>
        <v>0</v>
      </c>
      <c r="F58" s="4">
        <f t="shared" si="1"/>
        <v>0</v>
      </c>
    </row>
    <row r="59" spans="3:6" x14ac:dyDescent="0.25">
      <c r="C59" t="str">
        <f>IFERROR(VLOOKUP(B56, MASTER_PRICE_LIST!$A$2:$C$100, 2, FALSE), "--- Select Part ---")</f>
        <v>--- Select Part ---</v>
      </c>
      <c r="E59" s="4">
        <f>IFERROR(VLOOKUP(B56, MASTER_PRICE_LIST!$A$2:$C$100, 3, FALSE), 0)</f>
        <v>0</v>
      </c>
      <c r="F59" s="4">
        <f t="shared" si="1"/>
        <v>0</v>
      </c>
    </row>
    <row r="60" spans="3:6" x14ac:dyDescent="0.25">
      <c r="C60" t="str">
        <f>IFERROR(VLOOKUP(B57, MASTER_PRICE_LIST!$A$2:$C$100, 2, FALSE), "--- Select Part ---")</f>
        <v>--- Select Part ---</v>
      </c>
      <c r="E60" s="4">
        <f>IFERROR(VLOOKUP(B57, MASTER_PRICE_LIST!$A$2:$C$100, 3, FALSE), 0)</f>
        <v>0</v>
      </c>
      <c r="F60" s="4">
        <f t="shared" si="1"/>
        <v>0</v>
      </c>
    </row>
    <row r="61" spans="3:6" x14ac:dyDescent="0.25">
      <c r="C61" t="str">
        <f>IFERROR(VLOOKUP(B58, MASTER_PRICE_LIST!$A$2:$C$100, 2, FALSE), "--- Select Part ---")</f>
        <v>--- Select Part ---</v>
      </c>
      <c r="E61" s="4">
        <f>IFERROR(VLOOKUP(B58, MASTER_PRICE_LIST!$A$2:$C$100, 3, FALSE), 0)</f>
        <v>0</v>
      </c>
      <c r="F61" s="4">
        <f t="shared" si="1"/>
        <v>0</v>
      </c>
    </row>
    <row r="62" spans="3:6" x14ac:dyDescent="0.25">
      <c r="C62" t="str">
        <f>IFERROR(VLOOKUP(B59, MASTER_PRICE_LIST!$A$2:$C$100, 2, FALSE), "--- Select Part ---")</f>
        <v>--- Select Part ---</v>
      </c>
      <c r="E62" s="4">
        <f>IFERROR(VLOOKUP(B59, MASTER_PRICE_LIST!$A$2:$C$100, 3, FALSE), 0)</f>
        <v>0</v>
      </c>
      <c r="F62" s="4">
        <f t="shared" si="1"/>
        <v>0</v>
      </c>
    </row>
    <row r="63" spans="3:6" x14ac:dyDescent="0.25">
      <c r="C63" t="str">
        <f>IFERROR(VLOOKUP(B60, MASTER_PRICE_LIST!$A$2:$C$100, 2, FALSE), "--- Select Part ---")</f>
        <v>--- Select Part ---</v>
      </c>
      <c r="E63" s="4">
        <f>IFERROR(VLOOKUP(B60, MASTER_PRICE_LIST!$A$2:$C$100, 3, FALSE), 0)</f>
        <v>0</v>
      </c>
      <c r="F63" s="4">
        <f t="shared" si="1"/>
        <v>0</v>
      </c>
    </row>
    <row r="64" spans="3:6" x14ac:dyDescent="0.25">
      <c r="C64" t="str">
        <f>IFERROR(VLOOKUP(B61, MASTER_PRICE_LIST!$A$2:$C$100, 2, FALSE), "--- Select Part ---")</f>
        <v>--- Select Part ---</v>
      </c>
      <c r="E64" s="4">
        <f>IFERROR(VLOOKUP(B61, MASTER_PRICE_LIST!$A$2:$C$100, 3, FALSE), 0)</f>
        <v>0</v>
      </c>
      <c r="F64" s="4">
        <f t="shared" si="1"/>
        <v>0</v>
      </c>
    </row>
    <row r="65" spans="3:6" x14ac:dyDescent="0.25">
      <c r="C65" t="str">
        <f>IFERROR(VLOOKUP(B62, MASTER_PRICE_LIST!$A$2:$C$100, 2, FALSE), "--- Select Part ---")</f>
        <v>--- Select Part ---</v>
      </c>
      <c r="E65" s="4">
        <f>IFERROR(VLOOKUP(B62, MASTER_PRICE_LIST!$A$2:$C$100, 3, FALSE), 0)</f>
        <v>0</v>
      </c>
      <c r="F65" s="4">
        <f t="shared" si="1"/>
        <v>0</v>
      </c>
    </row>
    <row r="66" spans="3:6" x14ac:dyDescent="0.25">
      <c r="C66" t="str">
        <f>IFERROR(VLOOKUP(B63, MASTER_PRICE_LIST!$A$2:$C$100, 2, FALSE), "--- Select Part ---")</f>
        <v>--- Select Part ---</v>
      </c>
      <c r="E66" s="4">
        <f>IFERROR(VLOOKUP(B63, MASTER_PRICE_LIST!$A$2:$C$100, 3, FALSE), 0)</f>
        <v>0</v>
      </c>
      <c r="F66" s="4">
        <f t="shared" si="1"/>
        <v>0</v>
      </c>
    </row>
    <row r="67" spans="3:6" x14ac:dyDescent="0.25">
      <c r="C67" t="str">
        <f>IFERROR(VLOOKUP(B64, MASTER_PRICE_LIST!$A$2:$C$100, 2, FALSE), "--- Select Part ---")</f>
        <v>--- Select Part ---</v>
      </c>
      <c r="E67" s="4">
        <f>IFERROR(VLOOKUP(B64, MASTER_PRICE_LIST!$A$2:$C$100, 3, FALSE), 0)</f>
        <v>0</v>
      </c>
      <c r="F67" s="4">
        <f t="shared" si="1"/>
        <v>0</v>
      </c>
    </row>
    <row r="68" spans="3:6" x14ac:dyDescent="0.25">
      <c r="C68" t="str">
        <f>IFERROR(VLOOKUP(B65, MASTER_PRICE_LIST!$A$2:$C$100, 2, FALSE), "--- Select Part ---")</f>
        <v>--- Select Part ---</v>
      </c>
      <c r="E68" s="4">
        <f>IFERROR(VLOOKUP(B65, MASTER_PRICE_LIST!$A$2:$C$100, 3, FALSE), 0)</f>
        <v>0</v>
      </c>
      <c r="F68" s="4">
        <f t="shared" si="1"/>
        <v>0</v>
      </c>
    </row>
    <row r="69" spans="3:6" x14ac:dyDescent="0.25">
      <c r="C69" t="str">
        <f>IFERROR(VLOOKUP(B66, MASTER_PRICE_LIST!$A$2:$C$100, 2, FALSE), "--- Select Part ---")</f>
        <v>--- Select Part ---</v>
      </c>
      <c r="E69" s="4">
        <f>IFERROR(VLOOKUP(B66, MASTER_PRICE_LIST!$A$2:$C$100, 3, FALSE), 0)</f>
        <v>0</v>
      </c>
      <c r="F69" s="4">
        <f t="shared" ref="F69:F100" si="2">D66*E66</f>
        <v>0</v>
      </c>
    </row>
    <row r="70" spans="3:6" x14ac:dyDescent="0.25">
      <c r="C70" t="str">
        <f>IFERROR(VLOOKUP(B67, MASTER_PRICE_LIST!$A$2:$C$100, 2, FALSE), "--- Select Part ---")</f>
        <v>--- Select Part ---</v>
      </c>
      <c r="E70" s="4">
        <f>IFERROR(VLOOKUP(B67, MASTER_PRICE_LIST!$A$2:$C$100, 3, FALSE), 0)</f>
        <v>0</v>
      </c>
      <c r="F70" s="4">
        <f t="shared" si="2"/>
        <v>0</v>
      </c>
    </row>
    <row r="71" spans="3:6" x14ac:dyDescent="0.25">
      <c r="C71" t="str">
        <f>IFERROR(VLOOKUP(B68, MASTER_PRICE_LIST!$A$2:$C$100, 2, FALSE), "--- Select Part ---")</f>
        <v>--- Select Part ---</v>
      </c>
      <c r="E71" s="4">
        <f>IFERROR(VLOOKUP(B68, MASTER_PRICE_LIST!$A$2:$C$100, 3, FALSE), 0)</f>
        <v>0</v>
      </c>
      <c r="F71" s="4">
        <f t="shared" si="2"/>
        <v>0</v>
      </c>
    </row>
    <row r="72" spans="3:6" x14ac:dyDescent="0.25">
      <c r="C72" t="str">
        <f>IFERROR(VLOOKUP(B69, MASTER_PRICE_LIST!$A$2:$C$100, 2, FALSE), "--- Select Part ---")</f>
        <v>--- Select Part ---</v>
      </c>
      <c r="E72" s="4">
        <f>IFERROR(VLOOKUP(B69, MASTER_PRICE_LIST!$A$2:$C$100, 3, FALSE), 0)</f>
        <v>0</v>
      </c>
      <c r="F72" s="4">
        <f t="shared" si="2"/>
        <v>0</v>
      </c>
    </row>
    <row r="73" spans="3:6" x14ac:dyDescent="0.25">
      <c r="C73" t="str">
        <f>IFERROR(VLOOKUP(B70, MASTER_PRICE_LIST!$A$2:$C$100, 2, FALSE), "--- Select Part ---")</f>
        <v>--- Select Part ---</v>
      </c>
      <c r="E73" s="4">
        <f>IFERROR(VLOOKUP(B70, MASTER_PRICE_LIST!$A$2:$C$100, 3, FALSE), 0)</f>
        <v>0</v>
      </c>
      <c r="F73" s="4">
        <f t="shared" si="2"/>
        <v>0</v>
      </c>
    </row>
    <row r="74" spans="3:6" x14ac:dyDescent="0.25">
      <c r="C74" t="str">
        <f>IFERROR(VLOOKUP(B71, MASTER_PRICE_LIST!$A$2:$C$100, 2, FALSE), "--- Select Part ---")</f>
        <v>--- Select Part ---</v>
      </c>
      <c r="E74" s="4">
        <f>IFERROR(VLOOKUP(B71, MASTER_PRICE_LIST!$A$2:$C$100, 3, FALSE), 0)</f>
        <v>0</v>
      </c>
      <c r="F74" s="4">
        <f t="shared" si="2"/>
        <v>0</v>
      </c>
    </row>
    <row r="75" spans="3:6" x14ac:dyDescent="0.25">
      <c r="C75" t="str">
        <f>IFERROR(VLOOKUP(B72, MASTER_PRICE_LIST!$A$2:$C$100, 2, FALSE), "--- Select Part ---")</f>
        <v>--- Select Part ---</v>
      </c>
      <c r="E75" s="4">
        <f>IFERROR(VLOOKUP(B72, MASTER_PRICE_LIST!$A$2:$C$100, 3, FALSE), 0)</f>
        <v>0</v>
      </c>
      <c r="F75" s="4">
        <f t="shared" si="2"/>
        <v>0</v>
      </c>
    </row>
    <row r="76" spans="3:6" x14ac:dyDescent="0.25">
      <c r="C76" t="str">
        <f>IFERROR(VLOOKUP(B73, MASTER_PRICE_LIST!$A$2:$C$100, 2, FALSE), "--- Select Part ---")</f>
        <v>--- Select Part ---</v>
      </c>
      <c r="E76" s="4">
        <f>IFERROR(VLOOKUP(B73, MASTER_PRICE_LIST!$A$2:$C$100, 3, FALSE), 0)</f>
        <v>0</v>
      </c>
      <c r="F76" s="4">
        <f t="shared" si="2"/>
        <v>0</v>
      </c>
    </row>
    <row r="77" spans="3:6" x14ac:dyDescent="0.25">
      <c r="C77" t="str">
        <f>IFERROR(VLOOKUP(B74, MASTER_PRICE_LIST!$A$2:$C$100, 2, FALSE), "--- Select Part ---")</f>
        <v>--- Select Part ---</v>
      </c>
      <c r="E77" s="4">
        <f>IFERROR(VLOOKUP(B74, MASTER_PRICE_LIST!$A$2:$C$100, 3, FALSE), 0)</f>
        <v>0</v>
      </c>
      <c r="F77" s="4">
        <f t="shared" si="2"/>
        <v>0</v>
      </c>
    </row>
    <row r="78" spans="3:6" x14ac:dyDescent="0.25">
      <c r="C78" t="str">
        <f>IFERROR(VLOOKUP(B75, MASTER_PRICE_LIST!$A$2:$C$100, 2, FALSE), "--- Select Part ---")</f>
        <v>--- Select Part ---</v>
      </c>
      <c r="E78" s="4">
        <f>IFERROR(VLOOKUP(B75, MASTER_PRICE_LIST!$A$2:$C$100, 3, FALSE), 0)</f>
        <v>0</v>
      </c>
      <c r="F78" s="4">
        <f t="shared" si="2"/>
        <v>0</v>
      </c>
    </row>
    <row r="79" spans="3:6" x14ac:dyDescent="0.25">
      <c r="C79" t="str">
        <f>IFERROR(VLOOKUP(B76, MASTER_PRICE_LIST!$A$2:$C$100, 2, FALSE), "--- Select Part ---")</f>
        <v>--- Select Part ---</v>
      </c>
      <c r="E79" s="4">
        <f>IFERROR(VLOOKUP(B76, MASTER_PRICE_LIST!$A$2:$C$100, 3, FALSE), 0)</f>
        <v>0</v>
      </c>
      <c r="F79" s="4">
        <f t="shared" si="2"/>
        <v>0</v>
      </c>
    </row>
    <row r="80" spans="3:6" x14ac:dyDescent="0.25">
      <c r="C80" t="str">
        <f>IFERROR(VLOOKUP(B77, MASTER_PRICE_LIST!$A$2:$C$100, 2, FALSE), "--- Select Part ---")</f>
        <v>--- Select Part ---</v>
      </c>
      <c r="E80" s="4">
        <f>IFERROR(VLOOKUP(B77, MASTER_PRICE_LIST!$A$2:$C$100, 3, FALSE), 0)</f>
        <v>0</v>
      </c>
      <c r="F80" s="4">
        <f t="shared" si="2"/>
        <v>0</v>
      </c>
    </row>
    <row r="81" spans="3:6" x14ac:dyDescent="0.25">
      <c r="C81" t="str">
        <f>IFERROR(VLOOKUP(B78, MASTER_PRICE_LIST!$A$2:$C$100, 2, FALSE), "--- Select Part ---")</f>
        <v>--- Select Part ---</v>
      </c>
      <c r="E81" s="4">
        <f>IFERROR(VLOOKUP(B78, MASTER_PRICE_LIST!$A$2:$C$100, 3, FALSE), 0)</f>
        <v>0</v>
      </c>
      <c r="F81" s="4">
        <f t="shared" si="2"/>
        <v>0</v>
      </c>
    </row>
    <row r="82" spans="3:6" x14ac:dyDescent="0.25">
      <c r="C82" t="str">
        <f>IFERROR(VLOOKUP(B79, MASTER_PRICE_LIST!$A$2:$C$100, 2, FALSE), "--- Select Part ---")</f>
        <v>--- Select Part ---</v>
      </c>
      <c r="E82" s="4">
        <f>IFERROR(VLOOKUP(B79, MASTER_PRICE_LIST!$A$2:$C$100, 3, FALSE), 0)</f>
        <v>0</v>
      </c>
      <c r="F82" s="4">
        <f t="shared" si="2"/>
        <v>0</v>
      </c>
    </row>
    <row r="83" spans="3:6" x14ac:dyDescent="0.25">
      <c r="C83" t="str">
        <f>IFERROR(VLOOKUP(B80, MASTER_PRICE_LIST!$A$2:$C$100, 2, FALSE), "--- Select Part ---")</f>
        <v>--- Select Part ---</v>
      </c>
      <c r="E83" s="4">
        <f>IFERROR(VLOOKUP(B80, MASTER_PRICE_LIST!$A$2:$C$100, 3, FALSE), 0)</f>
        <v>0</v>
      </c>
      <c r="F83" s="4">
        <f t="shared" si="2"/>
        <v>0</v>
      </c>
    </row>
    <row r="84" spans="3:6" x14ac:dyDescent="0.25">
      <c r="C84" t="str">
        <f>IFERROR(VLOOKUP(B81, MASTER_PRICE_LIST!$A$2:$C$100, 2, FALSE), "--- Select Part ---")</f>
        <v>--- Select Part ---</v>
      </c>
      <c r="E84" s="4">
        <f>IFERROR(VLOOKUP(B81, MASTER_PRICE_LIST!$A$2:$C$100, 3, FALSE), 0)</f>
        <v>0</v>
      </c>
      <c r="F84" s="4">
        <f t="shared" si="2"/>
        <v>0</v>
      </c>
    </row>
    <row r="85" spans="3:6" x14ac:dyDescent="0.25">
      <c r="C85" t="str">
        <f>IFERROR(VLOOKUP(B82, MASTER_PRICE_LIST!$A$2:$C$100, 2, FALSE), "--- Select Part ---")</f>
        <v>--- Select Part ---</v>
      </c>
      <c r="E85" s="4">
        <f>IFERROR(VLOOKUP(B82, MASTER_PRICE_LIST!$A$2:$C$100, 3, FALSE), 0)</f>
        <v>0</v>
      </c>
      <c r="F85" s="4">
        <f t="shared" si="2"/>
        <v>0</v>
      </c>
    </row>
    <row r="86" spans="3:6" x14ac:dyDescent="0.25">
      <c r="C86" t="str">
        <f>IFERROR(VLOOKUP(B83, MASTER_PRICE_LIST!$A$2:$C$100, 2, FALSE), "--- Select Part ---")</f>
        <v>--- Select Part ---</v>
      </c>
      <c r="E86" s="4">
        <f>IFERROR(VLOOKUP(B83, MASTER_PRICE_LIST!$A$2:$C$100, 3, FALSE), 0)</f>
        <v>0</v>
      </c>
      <c r="F86" s="4">
        <f t="shared" si="2"/>
        <v>0</v>
      </c>
    </row>
    <row r="87" spans="3:6" x14ac:dyDescent="0.25">
      <c r="C87" t="str">
        <f>IFERROR(VLOOKUP(B84, MASTER_PRICE_LIST!$A$2:$C$100, 2, FALSE), "--- Select Part ---")</f>
        <v>--- Select Part ---</v>
      </c>
      <c r="E87" s="4">
        <f>IFERROR(VLOOKUP(B84, MASTER_PRICE_LIST!$A$2:$C$100, 3, FALSE), 0)</f>
        <v>0</v>
      </c>
      <c r="F87" s="4">
        <f t="shared" si="2"/>
        <v>0</v>
      </c>
    </row>
    <row r="88" spans="3:6" x14ac:dyDescent="0.25">
      <c r="C88" t="str">
        <f>IFERROR(VLOOKUP(B85, MASTER_PRICE_LIST!$A$2:$C$100, 2, FALSE), "--- Select Part ---")</f>
        <v>--- Select Part ---</v>
      </c>
      <c r="E88" s="4">
        <f>IFERROR(VLOOKUP(B85, MASTER_PRICE_LIST!$A$2:$C$100, 3, FALSE), 0)</f>
        <v>0</v>
      </c>
      <c r="F88" s="4">
        <f t="shared" si="2"/>
        <v>0</v>
      </c>
    </row>
    <row r="89" spans="3:6" x14ac:dyDescent="0.25">
      <c r="C89" t="str">
        <f>IFERROR(VLOOKUP(B86, MASTER_PRICE_LIST!$A$2:$C$100, 2, FALSE), "--- Select Part ---")</f>
        <v>--- Select Part ---</v>
      </c>
      <c r="E89" s="4">
        <f>IFERROR(VLOOKUP(B86, MASTER_PRICE_LIST!$A$2:$C$100, 3, FALSE), 0)</f>
        <v>0</v>
      </c>
      <c r="F89" s="4">
        <f t="shared" si="2"/>
        <v>0</v>
      </c>
    </row>
    <row r="90" spans="3:6" x14ac:dyDescent="0.25">
      <c r="C90" t="str">
        <f>IFERROR(VLOOKUP(B87, MASTER_PRICE_LIST!$A$2:$C$100, 2, FALSE), "--- Select Part ---")</f>
        <v>--- Select Part ---</v>
      </c>
      <c r="E90" s="4">
        <f>IFERROR(VLOOKUP(B87, MASTER_PRICE_LIST!$A$2:$C$100, 3, FALSE), 0)</f>
        <v>0</v>
      </c>
      <c r="F90" s="4">
        <f t="shared" si="2"/>
        <v>0</v>
      </c>
    </row>
    <row r="91" spans="3:6" x14ac:dyDescent="0.25">
      <c r="C91" t="str">
        <f>IFERROR(VLOOKUP(B88, MASTER_PRICE_LIST!$A$2:$C$100, 2, FALSE), "--- Select Part ---")</f>
        <v>--- Select Part ---</v>
      </c>
      <c r="E91" s="4">
        <f>IFERROR(VLOOKUP(B88, MASTER_PRICE_LIST!$A$2:$C$100, 3, FALSE), 0)</f>
        <v>0</v>
      </c>
      <c r="F91" s="4">
        <f t="shared" si="2"/>
        <v>0</v>
      </c>
    </row>
    <row r="92" spans="3:6" x14ac:dyDescent="0.25">
      <c r="C92" t="str">
        <f>IFERROR(VLOOKUP(B89, MASTER_PRICE_LIST!$A$2:$C$100, 2, FALSE), "--- Select Part ---")</f>
        <v>--- Select Part ---</v>
      </c>
      <c r="E92" s="4">
        <f>IFERROR(VLOOKUP(B89, MASTER_PRICE_LIST!$A$2:$C$100, 3, FALSE), 0)</f>
        <v>0</v>
      </c>
      <c r="F92" s="4">
        <f t="shared" si="2"/>
        <v>0</v>
      </c>
    </row>
    <row r="93" spans="3:6" x14ac:dyDescent="0.25">
      <c r="C93" t="str">
        <f>IFERROR(VLOOKUP(B90, MASTER_PRICE_LIST!$A$2:$C$100, 2, FALSE), "--- Select Part ---")</f>
        <v>--- Select Part ---</v>
      </c>
      <c r="E93" s="4">
        <f>IFERROR(VLOOKUP(B90, MASTER_PRICE_LIST!$A$2:$C$100, 3, FALSE), 0)</f>
        <v>0</v>
      </c>
      <c r="F93" s="4">
        <f t="shared" si="2"/>
        <v>0</v>
      </c>
    </row>
    <row r="94" spans="3:6" x14ac:dyDescent="0.25">
      <c r="C94" t="str">
        <f>IFERROR(VLOOKUP(B91, MASTER_PRICE_LIST!$A$2:$C$100, 2, FALSE), "--- Select Part ---")</f>
        <v>--- Select Part ---</v>
      </c>
      <c r="E94" s="4">
        <f>IFERROR(VLOOKUP(B91, MASTER_PRICE_LIST!$A$2:$C$100, 3, FALSE), 0)</f>
        <v>0</v>
      </c>
      <c r="F94" s="4">
        <f t="shared" si="2"/>
        <v>0</v>
      </c>
    </row>
    <row r="95" spans="3:6" x14ac:dyDescent="0.25">
      <c r="C95" t="str">
        <f>IFERROR(VLOOKUP(B92, MASTER_PRICE_LIST!$A$2:$C$100, 2, FALSE), "--- Select Part ---")</f>
        <v>--- Select Part ---</v>
      </c>
      <c r="E95" s="4">
        <f>IFERROR(VLOOKUP(B92, MASTER_PRICE_LIST!$A$2:$C$100, 3, FALSE), 0)</f>
        <v>0</v>
      </c>
      <c r="F95" s="4">
        <f t="shared" si="2"/>
        <v>0</v>
      </c>
    </row>
    <row r="96" spans="3:6" x14ac:dyDescent="0.25">
      <c r="C96" t="str">
        <f>IFERROR(VLOOKUP(B93, MASTER_PRICE_LIST!$A$2:$C$100, 2, FALSE), "--- Select Part ---")</f>
        <v>--- Select Part ---</v>
      </c>
      <c r="E96" s="4">
        <f>IFERROR(VLOOKUP(B93, MASTER_PRICE_LIST!$A$2:$C$100, 3, FALSE), 0)</f>
        <v>0</v>
      </c>
      <c r="F96" s="4">
        <f t="shared" si="2"/>
        <v>0</v>
      </c>
    </row>
    <row r="97" spans="3:6" x14ac:dyDescent="0.25">
      <c r="C97" t="str">
        <f>IFERROR(VLOOKUP(B94, MASTER_PRICE_LIST!$A$2:$C$100, 2, FALSE), "--- Select Part ---")</f>
        <v>--- Select Part ---</v>
      </c>
      <c r="E97" s="4">
        <f>IFERROR(VLOOKUP(B94, MASTER_PRICE_LIST!$A$2:$C$100, 3, FALSE), 0)</f>
        <v>0</v>
      </c>
      <c r="F97" s="4">
        <f t="shared" si="2"/>
        <v>0</v>
      </c>
    </row>
    <row r="98" spans="3:6" x14ac:dyDescent="0.25">
      <c r="C98" t="str">
        <f>IFERROR(VLOOKUP(B95, MASTER_PRICE_LIST!$A$2:$C$100, 2, FALSE), "--- Select Part ---")</f>
        <v>--- Select Part ---</v>
      </c>
      <c r="E98" s="4">
        <f>IFERROR(VLOOKUP(B95, MASTER_PRICE_LIST!$A$2:$C$100, 3, FALSE), 0)</f>
        <v>0</v>
      </c>
      <c r="F98" s="4">
        <f t="shared" si="2"/>
        <v>0</v>
      </c>
    </row>
    <row r="99" spans="3:6" x14ac:dyDescent="0.25">
      <c r="C99" t="str">
        <f>IFERROR(VLOOKUP(B96, MASTER_PRICE_LIST!$A$2:$C$100, 2, FALSE), "--- Select Part ---")</f>
        <v>--- Select Part ---</v>
      </c>
      <c r="E99" s="4">
        <f>IFERROR(VLOOKUP(B96, MASTER_PRICE_LIST!$A$2:$C$100, 3, FALSE), 0)</f>
        <v>0</v>
      </c>
      <c r="F99" s="4">
        <f t="shared" si="2"/>
        <v>0</v>
      </c>
    </row>
    <row r="100" spans="3:6" x14ac:dyDescent="0.25">
      <c r="C100" t="str">
        <f>IFERROR(VLOOKUP(B97, MASTER_PRICE_LIST!$A$2:$C$100, 2, FALSE), "--- Select Part ---")</f>
        <v>--- Select Part ---</v>
      </c>
      <c r="E100" s="4">
        <f>IFERROR(VLOOKUP(B97, MASTER_PRICE_LIST!$A$2:$C$100, 3, FALSE), 0)</f>
        <v>0</v>
      </c>
      <c r="F100" s="4">
        <f t="shared" si="2"/>
        <v>0</v>
      </c>
    </row>
    <row r="101" spans="3:6" x14ac:dyDescent="0.25">
      <c r="C101" t="str">
        <f>IFERROR(VLOOKUP(B98, MASTER_PRICE_LIST!$A$2:$C$100, 2, FALSE), "--- Select Part ---")</f>
        <v>--- Select Part ---</v>
      </c>
      <c r="E101" s="4">
        <f>IFERROR(VLOOKUP(B98, MASTER_PRICE_LIST!$A$2:$C$100, 3, FALSE), 0)</f>
        <v>0</v>
      </c>
      <c r="F101" s="4">
        <f t="shared" ref="F101:F132" si="3">D98*E98</f>
        <v>0</v>
      </c>
    </row>
    <row r="102" spans="3:6" x14ac:dyDescent="0.25">
      <c r="C102" t="str">
        <f>IFERROR(VLOOKUP(B99, MASTER_PRICE_LIST!$A$2:$C$100, 2, FALSE), "--- Select Part ---")</f>
        <v>--- Select Part ---</v>
      </c>
      <c r="E102" s="4">
        <f>IFERROR(VLOOKUP(B99, MASTER_PRICE_LIST!$A$2:$C$100, 3, FALSE), 0)</f>
        <v>0</v>
      </c>
      <c r="F102" s="4">
        <f t="shared" si="3"/>
        <v>0</v>
      </c>
    </row>
    <row r="103" spans="3:6" x14ac:dyDescent="0.25">
      <c r="C103" t="str">
        <f>IFERROR(VLOOKUP(B100, MASTER_PRICE_LIST!$A$2:$C$100, 2, FALSE), "--- Select Part ---")</f>
        <v>--- Select Part ---</v>
      </c>
      <c r="E103" s="4">
        <f>IFERROR(VLOOKUP(B100, MASTER_PRICE_LIST!$A$2:$C$100, 3, FALSE), 0)</f>
        <v>0</v>
      </c>
      <c r="F103" s="4">
        <f t="shared" si="3"/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MASTER_PRICE_LIST!$A$2:$A$100</xm:f>
          </x14:formula1>
          <xm:sqref>B2:B100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MASTER_PRICE_LIST</vt:lpstr>
      <vt:lpstr>BOQ_ENGINE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2026-05-06T22:20:38Z</dcterms:created>
  <dcterms:modified xsi:type="dcterms:W3CDTF">2026-05-06T22:22:36Z</dcterms:modified>
</cp:coreProperties>
</file>