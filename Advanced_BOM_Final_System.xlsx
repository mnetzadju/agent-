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580" activeTab="1"/>
  </bookViews>
  <sheets>
    <sheet name="DASHBOARD" sheetId="1" r:id="rId1"/>
    <sheet name="PARTS_MASTER" sheetId="2" r:id="rId2"/>
    <sheet name="BOM_PROJECT" sheetId="3" r:id="rId3"/>
  </sheets>
  <calcPr calcId="152511"/>
</workbook>
</file>

<file path=xl/calcChain.xml><?xml version="1.0" encoding="utf-8"?>
<calcChain xmlns="http://schemas.openxmlformats.org/spreadsheetml/2006/main">
  <c r="D6" i="3" l="1"/>
  <c r="E6" i="3" s="1"/>
  <c r="D5" i="3"/>
  <c r="E5" i="3" s="1"/>
  <c r="D4" i="3"/>
  <c r="E4" i="3" s="1"/>
  <c r="D3" i="3"/>
  <c r="E3" i="3" s="1"/>
  <c r="D2" i="3"/>
  <c r="E2" i="3" s="1"/>
  <c r="F6" i="2"/>
  <c r="E6" i="2"/>
  <c r="E5" i="2"/>
  <c r="F5" i="2" s="1"/>
  <c r="E4" i="2"/>
  <c r="F4" i="2" s="1"/>
  <c r="E3" i="2"/>
  <c r="F3" i="2" s="1"/>
  <c r="E2" i="2"/>
  <c r="F2" i="2" s="1"/>
  <c r="C5" i="1" s="1"/>
  <c r="C4" i="1" l="1"/>
</calcChain>
</file>

<file path=xl/sharedStrings.xml><?xml version="1.0" encoding="utf-8"?>
<sst xmlns="http://schemas.openxmlformats.org/spreadsheetml/2006/main" count="34" uniqueCount="27">
  <si>
    <t>?? BOM ANALYTICS DASHBOARD</t>
  </si>
  <si>
    <t>TOTAL PROJECT BUDGET:</t>
  </si>
  <si>
    <t>LOW STOCK ITEMS:</t>
  </si>
  <si>
    <t>Part_ID</t>
  </si>
  <si>
    <t>Description</t>
  </si>
  <si>
    <t>Unit_Cost</t>
  </si>
  <si>
    <t>Initial_Stock</t>
  </si>
  <si>
    <t>Qty_Used</t>
  </si>
  <si>
    <t>Stock_Remaining</t>
  </si>
  <si>
    <t>P-001</t>
  </si>
  <si>
    <t>Processor</t>
  </si>
  <si>
    <t>P-002</t>
  </si>
  <si>
    <t>RAM 16GB</t>
  </si>
  <si>
    <t>P-003</t>
  </si>
  <si>
    <t>SSD 512GB</t>
  </si>
  <si>
    <t>P-004</t>
  </si>
  <si>
    <t>PSU 750W</t>
  </si>
  <si>
    <t>P-005</t>
  </si>
  <si>
    <t>Mesh Case</t>
  </si>
  <si>
    <t>Project_Item</t>
  </si>
  <si>
    <t>Qty_Needed</t>
  </si>
  <si>
    <t>Total_Cost</t>
  </si>
  <si>
    <t>Workstation A</t>
  </si>
  <si>
    <t>Workstation B</t>
  </si>
  <si>
    <t>Server Unit</t>
  </si>
  <si>
    <t>Testing Lab</t>
  </si>
  <si>
    <t>Backup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</si>
</sst>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b/>
      <sz val="12"/>
      <name val="Calibri"/>
    </font>
    <font>
      <b/>
      <sz val="11"/>
      <color rgb="FFFF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 Distribution by Part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BOM_PROJECT!$E$1</c:f>
              <c:strCache>
                <c:ptCount val="1"/>
                <c:pt idx="0">
                  <c:v>Total_Cost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BOM_PROJECT!$B$2:$B$6</c:f>
              <c:strCache>
                <c:ptCount val="5"/>
                <c:pt idx="0">
                  <c:v>P-001</c:v>
                </c:pt>
                <c:pt idx="1">
                  <c:v>P-002</c:v>
                </c:pt>
                <c:pt idx="2">
                  <c:v>P-003</c:v>
                </c:pt>
                <c:pt idx="3">
                  <c:v>P-004</c:v>
                </c:pt>
                <c:pt idx="4">
                  <c:v>P-005</c:v>
                </c:pt>
              </c:strCache>
            </c:strRef>
          </c:cat>
          <c:val>
            <c:numRef>
              <c:f>BOM_PROJECT!$E$2:$E$6</c:f>
              <c:numCache>
                <c:formatCode>General</c:formatCode>
                <c:ptCount val="5"/>
                <c:pt idx="0">
                  <c:v>1900</c:v>
                </c:pt>
                <c:pt idx="1">
                  <c:v>380</c:v>
                </c:pt>
                <c:pt idx="2">
                  <c:v>130</c:v>
                </c:pt>
                <c:pt idx="3">
                  <c:v>220</c:v>
                </c:pt>
                <c:pt idx="4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Current Stock Levels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PARTS_MASTER!$F$1</c:f>
              <c:strCache>
                <c:ptCount val="1"/>
                <c:pt idx="0">
                  <c:v>Stock_Remaining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PARTS_MASTER!$A$2:$A$6</c:f>
              <c:strCache>
                <c:ptCount val="5"/>
                <c:pt idx="0">
                  <c:v>P-001</c:v>
                </c:pt>
                <c:pt idx="1">
                  <c:v>P-002</c:v>
                </c:pt>
                <c:pt idx="2">
                  <c:v>P-003</c:v>
                </c:pt>
                <c:pt idx="3">
                  <c:v>P-004</c:v>
                </c:pt>
                <c:pt idx="4">
                  <c:v>P-005</c:v>
                </c:pt>
              </c:strCache>
            </c:strRef>
          </c:cat>
          <c:val>
            <c:numRef>
              <c:f>PARTS_MASTER!$F$2:$F$6</c:f>
              <c:numCache>
                <c:formatCode>General</c:formatCode>
                <c:ptCount val="5"/>
                <c:pt idx="0">
                  <c:v>13</c:v>
                </c:pt>
                <c:pt idx="1">
                  <c:v>26</c:v>
                </c:pt>
                <c:pt idx="2">
                  <c:v>24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87296"/>
        <c:axId val="179688080"/>
      </c:barChart>
      <c:catAx>
        <c:axId val="179687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9688080"/>
        <c:crosses val="autoZero"/>
        <c:auto val="1"/>
        <c:lblAlgn val="ctr"/>
        <c:lblOffset val="100"/>
        <c:noMultiLvlLbl val="1"/>
      </c:catAx>
      <c:valAx>
        <c:axId val="17968808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79687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8</xdr:row>
      <xdr:rowOff>9525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200025</xdr:colOff>
      <xdr:row>8</xdr:row>
      <xdr:rowOff>47625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topLeftCell="A2" workbookViewId="0">
      <selection activeCell="B57" sqref="B57"/>
    </sheetView>
  </sheetViews>
  <sheetFormatPr defaultRowHeight="15" x14ac:dyDescent="0.25"/>
  <cols>
    <col min="2" max="2" width="49.140625" bestFit="1" customWidth="1"/>
  </cols>
  <sheetData>
    <row r="2" spans="2:3" ht="23.25" x14ac:dyDescent="0.35">
      <c r="B2" s="1" t="s">
        <v>0</v>
      </c>
    </row>
    <row r="4" spans="2:3" ht="15.75" x14ac:dyDescent="0.25">
      <c r="B4" t="s">
        <v>1</v>
      </c>
      <c r="C4" s="2">
        <f>SUM(BOM_PROJECT!E2:E100)</f>
        <v>2715</v>
      </c>
    </row>
    <row r="5" spans="2:3" x14ac:dyDescent="0.25">
      <c r="B5" t="s">
        <v>2</v>
      </c>
      <c r="C5" s="3">
        <f>COUNTIF(PARTS_MASTER!F2:F100, "&lt;=2")</f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9" sqref="D19"/>
    </sheetView>
  </sheetViews>
  <sheetFormatPr defaultRowHeight="15" x14ac:dyDescent="0.25"/>
  <cols>
    <col min="1" max="6" width="20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</row>
    <row r="2" spans="1:6" x14ac:dyDescent="0.25">
      <c r="A2" t="s">
        <v>9</v>
      </c>
      <c r="B2" t="s">
        <v>10</v>
      </c>
      <c r="C2">
        <v>950</v>
      </c>
      <c r="D2">
        <v>15</v>
      </c>
      <c r="E2">
        <f>SUMIF(BOM_PROJECT!$B$2:$B$100, A2, BOM_PROJECT!$C$2:$C$100)</f>
        <v>2</v>
      </c>
      <c r="F2">
        <f>D2-E2</f>
        <v>13</v>
      </c>
    </row>
    <row r="3" spans="1:6" x14ac:dyDescent="0.25">
      <c r="A3" t="s">
        <v>11</v>
      </c>
      <c r="B3" t="s">
        <v>12</v>
      </c>
      <c r="C3">
        <v>95</v>
      </c>
      <c r="D3">
        <v>30</v>
      </c>
      <c r="E3">
        <f>SUMIF(BOM_PROJECT!$B$2:$B$100, A3, BOM_PROJECT!$C$2:$C$100)</f>
        <v>4</v>
      </c>
      <c r="F3">
        <f>D3-E3</f>
        <v>26</v>
      </c>
    </row>
    <row r="4" spans="1:6" x14ac:dyDescent="0.25">
      <c r="A4" t="s">
        <v>13</v>
      </c>
      <c r="B4" t="s">
        <v>14</v>
      </c>
      <c r="C4">
        <v>130</v>
      </c>
      <c r="D4">
        <v>25</v>
      </c>
      <c r="E4">
        <f>SUMIF(BOM_PROJECT!$B$2:$B$100, A4, BOM_PROJECT!$C$2:$C$100)</f>
        <v>1</v>
      </c>
      <c r="F4">
        <f>D4-E4</f>
        <v>24</v>
      </c>
    </row>
    <row r="5" spans="1:6" x14ac:dyDescent="0.25">
      <c r="A5" t="s">
        <v>15</v>
      </c>
      <c r="B5" t="s">
        <v>16</v>
      </c>
      <c r="C5">
        <v>110</v>
      </c>
      <c r="D5">
        <v>12</v>
      </c>
      <c r="E5">
        <f>SUMIF(BOM_PROJECT!$B$2:$B$100, A5, BOM_PROJECT!$C$2:$C$100)</f>
        <v>2</v>
      </c>
      <c r="F5">
        <f>D5-E5</f>
        <v>10</v>
      </c>
    </row>
    <row r="6" spans="1:6" x14ac:dyDescent="0.25">
      <c r="A6" t="s">
        <v>17</v>
      </c>
      <c r="B6" t="s">
        <v>18</v>
      </c>
      <c r="C6">
        <v>85</v>
      </c>
      <c r="D6">
        <v>10</v>
      </c>
      <c r="E6">
        <f>SUMIF(BOM_PROJECT!$B$2:$B$100, A6, BOM_PROJECT!$C$2:$C$100)</f>
        <v>1</v>
      </c>
      <c r="F6">
        <f>D6-E6</f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4" t="s">
        <v>19</v>
      </c>
      <c r="B1" s="4" t="s">
        <v>3</v>
      </c>
      <c r="C1" s="4" t="s">
        <v>20</v>
      </c>
      <c r="D1" s="4" t="s">
        <v>5</v>
      </c>
      <c r="E1" s="4" t="s">
        <v>21</v>
      </c>
    </row>
    <row r="2" spans="1:5" x14ac:dyDescent="0.25">
      <c r="A2" t="s">
        <v>22</v>
      </c>
      <c r="B2" t="s">
        <v>9</v>
      </c>
      <c r="C2">
        <v>2</v>
      </c>
      <c r="D2">
        <f>VLOOKUP(B2, PARTS_MASTER!$A$2:$C$10, 3, FALSE)</f>
        <v>950</v>
      </c>
      <c r="E2">
        <f>C2*D2</f>
        <v>1900</v>
      </c>
    </row>
    <row r="3" spans="1:5" x14ac:dyDescent="0.25">
      <c r="A3" t="s">
        <v>23</v>
      </c>
      <c r="B3" t="s">
        <v>11</v>
      </c>
      <c r="C3">
        <v>4</v>
      </c>
      <c r="D3">
        <f>VLOOKUP(B3, PARTS_MASTER!$A$2:$C$10, 3, FALSE)</f>
        <v>95</v>
      </c>
      <c r="E3">
        <f>C3*D3</f>
        <v>380</v>
      </c>
    </row>
    <row r="4" spans="1:5" x14ac:dyDescent="0.25">
      <c r="A4" t="s">
        <v>24</v>
      </c>
      <c r="B4" t="s">
        <v>13</v>
      </c>
      <c r="C4">
        <v>1</v>
      </c>
      <c r="D4">
        <f>VLOOKUP(B4, PARTS_MASTER!$A$2:$C$10, 3, FALSE)</f>
        <v>130</v>
      </c>
      <c r="E4">
        <f>C4*D4</f>
        <v>130</v>
      </c>
    </row>
    <row r="5" spans="1:5" x14ac:dyDescent="0.25">
      <c r="A5" t="s">
        <v>25</v>
      </c>
      <c r="B5" t="s">
        <v>15</v>
      </c>
      <c r="C5">
        <v>2</v>
      </c>
      <c r="D5">
        <f>VLOOKUP(B5, PARTS_MASTER!$A$2:$C$10, 3, FALSE)</f>
        <v>110</v>
      </c>
      <c r="E5">
        <f>C5*D5</f>
        <v>220</v>
      </c>
    </row>
    <row r="6" spans="1:5" x14ac:dyDescent="0.25">
      <c r="A6" t="s">
        <v>26</v>
      </c>
      <c r="B6" t="s">
        <v>17</v>
      </c>
      <c r="C6">
        <v>1</v>
      </c>
      <c r="D6">
        <f>VLOOKUP(B6, PARTS_MASTER!$A$2:$C$10, 3, FALSE)</f>
        <v>85</v>
      </c>
      <c r="E6">
        <f>C6*D6</f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PARTS_MASTER</vt:lpstr>
      <vt:lpstr>BOM_PROJECT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2026-05-06T13:38:22Z</dcterms:created>
  <dcterms:modified xsi:type="dcterms:W3CDTF">2026-05-06T13:57:35Z</dcterms:modified>
</cp:coreProperties>
</file>