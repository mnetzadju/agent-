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xcel Agent\"/>
    </mc:Choice>
  </mc:AlternateContent>
  <bookViews>
    <workbookView xWindow="0" yWindow="0" windowWidth="38400" windowHeight="17580" activeTab="1"/>
  </bookViews>
  <sheets>
    <sheet name="DASHBOARD" sheetId="1" r:id="rId1"/>
    <sheet name="PARTS_MASTER" sheetId="2" r:id="rId2"/>
    <sheet name="BOM_PROJECT" sheetId="3" r:id="rId3"/>
  </sheets>
  <definedNames>
    <definedName name="_xlnm.Print_Area" localSheetId="2">BOM_PROJECT!$A$1:$J$39</definedName>
    <definedName name="_xlnm.Print_Area" localSheetId="0">DASHBOARD!$A$1:$L$41</definedName>
    <definedName name="_xlnm.Print_Area" localSheetId="1">PARTS_MASTER!$A$1:$I$43</definedName>
  </definedNames>
  <calcPr calcId="152511"/>
</workbook>
</file>

<file path=xl/calcChain.xml><?xml version="1.0" encoding="utf-8"?>
<calcChain xmlns="http://schemas.openxmlformats.org/spreadsheetml/2006/main">
  <c r="H5" i="2" l="1"/>
  <c r="I5" i="2" s="1"/>
  <c r="I11" i="3"/>
  <c r="J11" i="3" s="1"/>
  <c r="D11" i="3"/>
  <c r="C11" i="3"/>
  <c r="I10" i="3"/>
  <c r="J10" i="3" s="1"/>
  <c r="D10" i="3"/>
  <c r="C10" i="3"/>
  <c r="I9" i="3"/>
  <c r="J9" i="3" s="1"/>
  <c r="D9" i="3"/>
  <c r="C9" i="3"/>
  <c r="I8" i="3"/>
  <c r="J8" i="3" s="1"/>
  <c r="D8" i="3"/>
  <c r="C8" i="3"/>
  <c r="I7" i="3"/>
  <c r="J7" i="3" s="1"/>
  <c r="D7" i="3"/>
  <c r="C7" i="3"/>
  <c r="H9" i="2"/>
  <c r="I9" i="2" s="1"/>
  <c r="H8" i="2"/>
  <c r="I8" i="2" s="1"/>
  <c r="H7" i="2"/>
  <c r="I7" i="2" s="1"/>
  <c r="H6" i="2"/>
  <c r="I6" i="2" s="1"/>
  <c r="C4" i="1" l="1"/>
</calcChain>
</file>

<file path=xl/sharedStrings.xml><?xml version="1.0" encoding="utf-8"?>
<sst xmlns="http://schemas.openxmlformats.org/spreadsheetml/2006/main" count="72" uniqueCount="58">
  <si>
    <t>?? ASSET &amp; BOM MANAGEMENT SYSTEM</t>
  </si>
  <si>
    <t>TOTAL ASSET VALUE:</t>
  </si>
  <si>
    <t>Part_ID</t>
  </si>
  <si>
    <t>Part_Number</t>
  </si>
  <si>
    <t>Description</t>
  </si>
  <si>
    <t>Manufacturer</t>
  </si>
  <si>
    <t>Vendor</t>
  </si>
  <si>
    <t>Unit_Cost</t>
  </si>
  <si>
    <t>HW-001</t>
  </si>
  <si>
    <t>PN-7788</t>
  </si>
  <si>
    <t>Core Router</t>
  </si>
  <si>
    <t>Cisco</t>
  </si>
  <si>
    <t>Nexus IT</t>
  </si>
  <si>
    <t>SW-002</t>
  </si>
  <si>
    <t>LIC-9900</t>
  </si>
  <si>
    <t>Firewall License</t>
  </si>
  <si>
    <t>Fortinet</t>
  </si>
  <si>
    <t>CyberSafe</t>
  </si>
  <si>
    <t>HW-003</t>
  </si>
  <si>
    <t>PN-5544</t>
  </si>
  <si>
    <t>Access Point</t>
  </si>
  <si>
    <t>Aruba</t>
  </si>
  <si>
    <t>GlobalNet</t>
  </si>
  <si>
    <t>SW-004</t>
  </si>
  <si>
    <t>LIC-1122</t>
  </si>
  <si>
    <t>Monitoring Tool</t>
  </si>
  <si>
    <t>SolarWinds</t>
  </si>
  <si>
    <t>SoftSolutions</t>
  </si>
  <si>
    <t>HW-005</t>
  </si>
  <si>
    <t>PN-2233</t>
  </si>
  <si>
    <t>Switch 24-Port</t>
  </si>
  <si>
    <t>Ubiquiti</t>
  </si>
  <si>
    <t>DirectSupply</t>
  </si>
  <si>
    <t>Project_Site</t>
  </si>
  <si>
    <t>Serial_Number</t>
  </si>
  <si>
    <t>License</t>
  </si>
  <si>
    <t>Maintenance_Sub</t>
  </si>
  <si>
    <t>Qty_Needed</t>
  </si>
  <si>
    <t>Total_Cost</t>
  </si>
  <si>
    <t>HQ-Manila</t>
  </si>
  <si>
    <t>SN-ABC123</t>
  </si>
  <si>
    <t>N/A</t>
  </si>
  <si>
    <t>3 Years Warranty</t>
  </si>
  <si>
    <t>LIC-EXP-2027</t>
  </si>
  <si>
    <t>Annual Support</t>
  </si>
  <si>
    <t>Branch-Cebu</t>
  </si>
  <si>
    <t>SN-XYZ789</t>
  </si>
  <si>
    <t>1 Year Warranty</t>
  </si>
  <si>
    <t>Branch-Davao</t>
  </si>
  <si>
    <t>MON-SUB-1YR</t>
  </si>
  <si>
    <t>Platinum Support</t>
  </si>
  <si>
    <t>SN-SWI001</t>
  </si>
  <si>
    <t>5 Years Warranty</t>
  </si>
  <si>
    <t>SCS BOM TRACKER</t>
  </si>
  <si>
    <t>Stock Remaining</t>
  </si>
  <si>
    <t>Initial Stock</t>
  </si>
  <si>
    <t>Unit Cost</t>
  </si>
  <si>
    <t>Qty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</si>
</sst>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b/>
      <sz val="18"/>
      <color rgb="FF1F4E78"/>
      <name val="Calibri"/>
    </font>
    <font>
      <b/>
      <sz val="11"/>
      <name val="Calibri"/>
    </font>
    <font>
      <b/>
      <sz val="11"/>
      <color rgb="FFFFFFFF"/>
      <name val="Calibri"/>
    </font>
    <font>
      <sz val="9"/>
      <color theme="1"/>
      <name val="Times New Roman"/>
      <family val="1"/>
    </font>
    <font>
      <b/>
      <sz val="10"/>
      <color rgb="FFFFFFFF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Asset Value Distribution</a:t>
            </a:r>
          </a:p>
        </c:rich>
      </c:tx>
      <c:layout/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BOM_PROJECT!$J$6</c:f>
              <c:strCache>
                <c:ptCount val="1"/>
                <c:pt idx="0">
                  <c:v>Total_Cost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BOM_PROJECT!$C$7:$C$11</c:f>
              <c:strCache>
                <c:ptCount val="5"/>
                <c:pt idx="0">
                  <c:v>PN-7788</c:v>
                </c:pt>
                <c:pt idx="1">
                  <c:v>LIC-9900</c:v>
                </c:pt>
                <c:pt idx="2">
                  <c:v>PN-5544</c:v>
                </c:pt>
                <c:pt idx="3">
                  <c:v>LIC-1122</c:v>
                </c:pt>
                <c:pt idx="4">
                  <c:v>PN-2233</c:v>
                </c:pt>
              </c:strCache>
            </c:strRef>
          </c:cat>
          <c:val>
            <c:numRef>
              <c:f>BOM_PROJECT!$J$7:$J$11</c:f>
              <c:numCache>
                <c:formatCode>General</c:formatCode>
                <c:ptCount val="5"/>
                <c:pt idx="0">
                  <c:v>1200</c:v>
                </c:pt>
                <c:pt idx="1">
                  <c:v>1000</c:v>
                </c:pt>
                <c:pt idx="2">
                  <c:v>1750</c:v>
                </c:pt>
                <c:pt idx="3">
                  <c:v>800</c:v>
                </c:pt>
                <c:pt idx="4">
                  <c:v>1350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Current Inventory Level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PARTS_MASTER!$I$4</c:f>
              <c:strCache>
                <c:ptCount val="1"/>
                <c:pt idx="0">
                  <c:v>Stock Remaining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PARTS_MASTER!$A$5:$A$9</c:f>
              <c:strCache>
                <c:ptCount val="5"/>
                <c:pt idx="0">
                  <c:v>HW-001</c:v>
                </c:pt>
                <c:pt idx="1">
                  <c:v>SW-002</c:v>
                </c:pt>
                <c:pt idx="2">
                  <c:v>HW-003</c:v>
                </c:pt>
                <c:pt idx="3">
                  <c:v>SW-004</c:v>
                </c:pt>
                <c:pt idx="4">
                  <c:v>HW-005</c:v>
                </c:pt>
              </c:strCache>
            </c:strRef>
          </c:cat>
          <c:val>
            <c:numRef>
              <c:f>PARTS_MASTER!$I$5:$I$9</c:f>
              <c:numCache>
                <c:formatCode>General</c:formatCode>
                <c:ptCount val="5"/>
                <c:pt idx="0">
                  <c:v>4</c:v>
                </c:pt>
                <c:pt idx="1">
                  <c:v>48</c:v>
                </c:pt>
                <c:pt idx="2">
                  <c:v>15</c:v>
                </c:pt>
                <c:pt idx="3">
                  <c:v>99</c:v>
                </c:pt>
                <c:pt idx="4">
                  <c:v>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9853936"/>
        <c:axId val="179855896"/>
      </c:barChart>
      <c:catAx>
        <c:axId val="1798539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9855896"/>
        <c:crosses val="autoZero"/>
        <c:auto val="1"/>
        <c:lblAlgn val="ctr"/>
        <c:lblOffset val="100"/>
        <c:noMultiLvlLbl val="1"/>
      </c:catAx>
      <c:valAx>
        <c:axId val="179855896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798539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310712</xdr:colOff>
      <xdr:row>5</xdr:row>
      <xdr:rowOff>108059</xdr:rowOff>
    </xdr:from>
    <xdr:ext cx="4177862" cy="2213741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318636</xdr:colOff>
      <xdr:row>15</xdr:row>
      <xdr:rowOff>202082</xdr:rowOff>
    </xdr:from>
    <xdr:ext cx="4191000" cy="2299138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4"/>
  <sheetViews>
    <sheetView view="pageBreakPreview" topLeftCell="A4" zoomScale="115" zoomScaleNormal="145" zoomScaleSheetLayoutView="115" zoomScalePageLayoutView="115" workbookViewId="0">
      <selection activeCell="G31" sqref="G31"/>
    </sheetView>
  </sheetViews>
  <sheetFormatPr defaultRowHeight="20.100000000000001" customHeight="1" x14ac:dyDescent="0.25"/>
  <cols>
    <col min="1" max="16384" width="9.140625" style="2"/>
  </cols>
  <sheetData>
    <row r="2" spans="2:3" ht="20.100000000000001" customHeight="1" x14ac:dyDescent="0.25">
      <c r="B2" s="3" t="s">
        <v>0</v>
      </c>
    </row>
    <row r="4" spans="2:3" ht="20.100000000000001" customHeight="1" x14ac:dyDescent="0.25">
      <c r="B4" s="2" t="s">
        <v>1</v>
      </c>
      <c r="C4" s="5">
        <f>SUM(BOM_PROJECT!J7:J21)</f>
        <v>6100</v>
      </c>
    </row>
  </sheetData>
  <pageMargins left="0.75" right="0.75" top="1" bottom="1" header="0.5" footer="0.5"/>
  <pageSetup scale="5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I43"/>
  <sheetViews>
    <sheetView tabSelected="1" view="pageBreakPreview" zoomScale="160" zoomScaleNormal="160" zoomScaleSheetLayoutView="160" workbookViewId="0">
      <selection activeCell="E10" sqref="E10"/>
    </sheetView>
  </sheetViews>
  <sheetFormatPr defaultRowHeight="20.100000000000001" customHeight="1" x14ac:dyDescent="0.25"/>
  <cols>
    <col min="1" max="1" width="13.7109375" style="2" customWidth="1"/>
    <col min="2" max="2" width="15" style="2" customWidth="1"/>
    <col min="3" max="3" width="52.85546875" style="2" customWidth="1"/>
    <col min="4" max="4" width="16.28515625" style="2" customWidth="1"/>
    <col min="5" max="5" width="15.7109375" style="2" customWidth="1"/>
    <col min="6" max="6" width="8.28515625" style="2" customWidth="1"/>
    <col min="7" max="7" width="9.7109375" style="2" customWidth="1"/>
    <col min="8" max="8" width="8.5703125" style="2" customWidth="1"/>
    <col min="9" max="9" width="13.28515625" style="2" customWidth="1"/>
    <col min="10" max="16384" width="9.140625" style="2"/>
  </cols>
  <sheetData>
    <row r="4" spans="1:9" ht="37.5" customHeight="1" x14ac:dyDescent="0.25">
      <c r="A4" s="7" t="s">
        <v>2</v>
      </c>
      <c r="B4" s="8" t="s">
        <v>3</v>
      </c>
      <c r="C4" s="7" t="s">
        <v>4</v>
      </c>
      <c r="D4" s="7" t="s">
        <v>5</v>
      </c>
      <c r="E4" s="7" t="s">
        <v>6</v>
      </c>
      <c r="F4" s="8" t="s">
        <v>56</v>
      </c>
      <c r="G4" s="8" t="s">
        <v>55</v>
      </c>
      <c r="H4" s="8" t="s">
        <v>57</v>
      </c>
      <c r="I4" s="8" t="s">
        <v>54</v>
      </c>
    </row>
    <row r="5" spans="1:9" ht="18" customHeight="1" x14ac:dyDescent="0.25">
      <c r="A5" s="6" t="s">
        <v>8</v>
      </c>
      <c r="B5" s="6" t="s">
        <v>9</v>
      </c>
      <c r="C5" s="6" t="s">
        <v>10</v>
      </c>
      <c r="D5" s="6" t="s">
        <v>11</v>
      </c>
      <c r="E5" s="6" t="s">
        <v>12</v>
      </c>
      <c r="F5" s="6">
        <v>1200</v>
      </c>
      <c r="G5" s="6">
        <v>5</v>
      </c>
      <c r="H5" s="6">
        <f>SUMIF(BOM_PROJECT!$B$7:$B$105, A5, BOM_PROJECT!$H$7:$H$105)</f>
        <v>1</v>
      </c>
      <c r="I5" s="6">
        <f>G5-H5</f>
        <v>4</v>
      </c>
    </row>
    <row r="6" spans="1:9" ht="18" customHeight="1" x14ac:dyDescent="0.25">
      <c r="A6" s="6" t="s">
        <v>13</v>
      </c>
      <c r="B6" s="6" t="s">
        <v>14</v>
      </c>
      <c r="C6" s="6" t="s">
        <v>15</v>
      </c>
      <c r="D6" s="6" t="s">
        <v>16</v>
      </c>
      <c r="E6" s="6" t="s">
        <v>17</v>
      </c>
      <c r="F6" s="6">
        <v>500</v>
      </c>
      <c r="G6" s="6">
        <v>50</v>
      </c>
      <c r="H6" s="6">
        <f>SUMIF(BOM_PROJECT!$B$7:$B$105, A6, BOM_PROJECT!$H$7:$H$105)</f>
        <v>2</v>
      </c>
      <c r="I6" s="6">
        <f>G6-H6</f>
        <v>48</v>
      </c>
    </row>
    <row r="7" spans="1:9" ht="18" customHeight="1" x14ac:dyDescent="0.25">
      <c r="A7" s="6" t="s">
        <v>18</v>
      </c>
      <c r="B7" s="6" t="s">
        <v>19</v>
      </c>
      <c r="C7" s="6" t="s">
        <v>20</v>
      </c>
      <c r="D7" s="6" t="s">
        <v>21</v>
      </c>
      <c r="E7" s="6" t="s">
        <v>22</v>
      </c>
      <c r="F7" s="6">
        <v>350</v>
      </c>
      <c r="G7" s="6">
        <v>20</v>
      </c>
      <c r="H7" s="6">
        <f>SUMIF(BOM_PROJECT!$B$7:$B$105, A7, BOM_PROJECT!$H$7:$H$105)</f>
        <v>5</v>
      </c>
      <c r="I7" s="6">
        <f>G7-H7</f>
        <v>15</v>
      </c>
    </row>
    <row r="8" spans="1:9" ht="18" customHeight="1" x14ac:dyDescent="0.25">
      <c r="A8" s="6" t="s">
        <v>23</v>
      </c>
      <c r="B8" s="6" t="s">
        <v>24</v>
      </c>
      <c r="C8" s="6" t="s">
        <v>25</v>
      </c>
      <c r="D8" s="6" t="s">
        <v>26</v>
      </c>
      <c r="E8" s="6" t="s">
        <v>27</v>
      </c>
      <c r="F8" s="6">
        <v>800</v>
      </c>
      <c r="G8" s="6">
        <v>100</v>
      </c>
      <c r="H8" s="6">
        <f>SUMIF(BOM_PROJECT!$B$7:$B$105, A8, BOM_PROJECT!$H$7:$H$105)</f>
        <v>1</v>
      </c>
      <c r="I8" s="6">
        <f>G8-H8</f>
        <v>99</v>
      </c>
    </row>
    <row r="9" spans="1:9" ht="18" customHeight="1" x14ac:dyDescent="0.25">
      <c r="A9" s="6" t="s">
        <v>28</v>
      </c>
      <c r="B9" s="6" t="s">
        <v>29</v>
      </c>
      <c r="C9" s="6" t="s">
        <v>30</v>
      </c>
      <c r="D9" s="6" t="s">
        <v>31</v>
      </c>
      <c r="E9" s="6" t="s">
        <v>32</v>
      </c>
      <c r="F9" s="6">
        <v>450</v>
      </c>
      <c r="G9" s="6">
        <v>15</v>
      </c>
      <c r="H9" s="6">
        <f>SUMIF(BOM_PROJECT!$B$7:$B$105, A9, BOM_PROJECT!$H$7:$H$105)</f>
        <v>3</v>
      </c>
      <c r="I9" s="6">
        <f>G9-H9</f>
        <v>12</v>
      </c>
    </row>
    <row r="10" spans="1:9" ht="18" customHeight="1" x14ac:dyDescent="0.25">
      <c r="A10" s="6"/>
      <c r="B10" s="6"/>
      <c r="C10" s="6"/>
      <c r="D10" s="6"/>
      <c r="E10" s="6"/>
      <c r="F10" s="6"/>
      <c r="G10" s="6"/>
      <c r="H10" s="6"/>
      <c r="I10" s="6"/>
    </row>
    <row r="11" spans="1:9" ht="18" customHeight="1" x14ac:dyDescent="0.25">
      <c r="A11" s="6"/>
      <c r="B11" s="6"/>
      <c r="C11" s="6"/>
      <c r="D11" s="6"/>
      <c r="E11" s="6"/>
      <c r="F11" s="6"/>
      <c r="G11" s="6"/>
      <c r="H11" s="6"/>
      <c r="I11" s="6"/>
    </row>
    <row r="12" spans="1:9" ht="18" customHeight="1" x14ac:dyDescent="0.25">
      <c r="A12" s="6"/>
      <c r="B12" s="6"/>
      <c r="C12" s="6"/>
      <c r="D12" s="6"/>
      <c r="E12" s="6"/>
      <c r="F12" s="6"/>
      <c r="G12" s="6"/>
      <c r="H12" s="6"/>
      <c r="I12" s="6"/>
    </row>
    <row r="13" spans="1:9" ht="18" customHeight="1" x14ac:dyDescent="0.25">
      <c r="A13" s="6"/>
      <c r="B13" s="6"/>
      <c r="C13" s="6"/>
      <c r="D13" s="6"/>
      <c r="E13" s="6"/>
      <c r="F13" s="6"/>
      <c r="G13" s="6"/>
      <c r="H13" s="6"/>
      <c r="I13" s="6"/>
    </row>
    <row r="14" spans="1:9" ht="18" customHeight="1" x14ac:dyDescent="0.25">
      <c r="A14" s="6"/>
      <c r="B14" s="6"/>
      <c r="C14" s="6"/>
      <c r="D14" s="6"/>
      <c r="E14" s="6"/>
      <c r="F14" s="6"/>
      <c r="G14" s="6"/>
      <c r="H14" s="6"/>
      <c r="I14" s="6"/>
    </row>
    <row r="15" spans="1:9" ht="18" customHeight="1" x14ac:dyDescent="0.25">
      <c r="A15" s="6"/>
      <c r="B15" s="6"/>
      <c r="C15" s="6"/>
      <c r="D15" s="6"/>
      <c r="E15" s="6"/>
      <c r="F15" s="6"/>
      <c r="G15" s="6"/>
      <c r="H15" s="6"/>
      <c r="I15" s="6"/>
    </row>
    <row r="16" spans="1:9" ht="18" customHeight="1" x14ac:dyDescent="0.25">
      <c r="A16" s="6"/>
      <c r="B16" s="6"/>
      <c r="C16" s="6"/>
      <c r="D16" s="6"/>
      <c r="E16" s="6"/>
      <c r="F16" s="6"/>
      <c r="G16" s="6"/>
      <c r="H16" s="6"/>
      <c r="I16" s="6"/>
    </row>
    <row r="17" spans="1:9" ht="18" customHeight="1" x14ac:dyDescent="0.25">
      <c r="A17" s="6"/>
      <c r="B17" s="6"/>
      <c r="C17" s="6"/>
      <c r="D17" s="6"/>
      <c r="E17" s="6"/>
      <c r="F17" s="6"/>
      <c r="G17" s="6"/>
      <c r="H17" s="6"/>
      <c r="I17" s="6"/>
    </row>
    <row r="18" spans="1:9" ht="18" customHeight="1" x14ac:dyDescent="0.25">
      <c r="A18" s="6"/>
      <c r="B18" s="6"/>
      <c r="C18" s="6"/>
      <c r="D18" s="6"/>
      <c r="E18" s="6"/>
      <c r="F18" s="6"/>
      <c r="G18" s="6"/>
      <c r="H18" s="6"/>
      <c r="I18" s="6"/>
    </row>
    <row r="19" spans="1:9" ht="18" customHeight="1" x14ac:dyDescent="0.25">
      <c r="A19" s="6"/>
      <c r="B19" s="6"/>
      <c r="C19" s="6"/>
      <c r="D19" s="6"/>
      <c r="E19" s="6"/>
      <c r="F19" s="6"/>
      <c r="G19" s="6"/>
      <c r="H19" s="6"/>
      <c r="I19" s="6"/>
    </row>
    <row r="20" spans="1:9" ht="18" customHeight="1" x14ac:dyDescent="0.25">
      <c r="A20" s="6"/>
      <c r="B20" s="6"/>
      <c r="C20" s="6"/>
      <c r="D20" s="6"/>
      <c r="E20" s="6"/>
      <c r="F20" s="6"/>
      <c r="G20" s="6"/>
      <c r="H20" s="6"/>
      <c r="I20" s="6"/>
    </row>
    <row r="21" spans="1:9" ht="18" customHeight="1" x14ac:dyDescent="0.25">
      <c r="A21" s="6"/>
      <c r="B21" s="6"/>
      <c r="C21" s="6"/>
      <c r="D21" s="6"/>
      <c r="E21" s="6"/>
      <c r="F21" s="6"/>
      <c r="G21" s="6"/>
      <c r="H21" s="6"/>
      <c r="I21" s="6"/>
    </row>
    <row r="22" spans="1:9" ht="18" customHeight="1" x14ac:dyDescent="0.25">
      <c r="A22" s="6"/>
      <c r="B22" s="6"/>
      <c r="C22" s="6"/>
      <c r="D22" s="6"/>
      <c r="E22" s="6"/>
      <c r="F22" s="6"/>
      <c r="G22" s="6"/>
      <c r="H22" s="6"/>
      <c r="I22" s="6"/>
    </row>
    <row r="23" spans="1:9" ht="18" customHeight="1" x14ac:dyDescent="0.25">
      <c r="A23" s="6"/>
      <c r="B23" s="6"/>
      <c r="C23" s="6"/>
      <c r="D23" s="6"/>
      <c r="E23" s="6"/>
      <c r="F23" s="6"/>
      <c r="G23" s="6"/>
      <c r="H23" s="6"/>
      <c r="I23" s="6"/>
    </row>
    <row r="24" spans="1:9" ht="18" customHeight="1" x14ac:dyDescent="0.25">
      <c r="A24" s="6"/>
      <c r="B24" s="6"/>
      <c r="C24" s="6"/>
      <c r="D24" s="6"/>
      <c r="E24" s="6"/>
      <c r="F24" s="6"/>
      <c r="G24" s="6"/>
      <c r="H24" s="6"/>
      <c r="I24" s="6"/>
    </row>
    <row r="25" spans="1:9" ht="18" customHeight="1" x14ac:dyDescent="0.25">
      <c r="A25" s="6"/>
      <c r="B25" s="6"/>
      <c r="C25" s="6"/>
      <c r="D25" s="6"/>
      <c r="E25" s="6"/>
      <c r="F25" s="6"/>
      <c r="G25" s="6"/>
      <c r="H25" s="6"/>
      <c r="I25" s="6"/>
    </row>
    <row r="26" spans="1:9" ht="18" customHeight="1" x14ac:dyDescent="0.25">
      <c r="A26" s="6"/>
      <c r="B26" s="6"/>
      <c r="C26" s="6"/>
      <c r="D26" s="6"/>
      <c r="E26" s="6"/>
      <c r="F26" s="6"/>
      <c r="G26" s="6"/>
      <c r="H26" s="6"/>
      <c r="I26" s="6"/>
    </row>
    <row r="27" spans="1:9" ht="18" customHeight="1" x14ac:dyDescent="0.25">
      <c r="A27" s="6"/>
      <c r="B27" s="6"/>
      <c r="C27" s="6"/>
      <c r="D27" s="6"/>
      <c r="E27" s="6"/>
      <c r="F27" s="6"/>
      <c r="G27" s="6"/>
      <c r="H27" s="6"/>
      <c r="I27" s="6"/>
    </row>
    <row r="28" spans="1:9" ht="18" customHeight="1" x14ac:dyDescent="0.25">
      <c r="A28" s="6"/>
      <c r="B28" s="6"/>
      <c r="C28" s="6"/>
      <c r="D28" s="6"/>
      <c r="E28" s="6"/>
      <c r="F28" s="6"/>
      <c r="G28" s="6"/>
      <c r="H28" s="6"/>
      <c r="I28" s="6"/>
    </row>
    <row r="29" spans="1:9" ht="18" customHeight="1" x14ac:dyDescent="0.25">
      <c r="A29" s="6"/>
      <c r="B29" s="6"/>
      <c r="C29" s="6"/>
      <c r="D29" s="6"/>
      <c r="E29" s="6"/>
      <c r="F29" s="6"/>
      <c r="G29" s="6"/>
      <c r="H29" s="6"/>
      <c r="I29" s="6"/>
    </row>
    <row r="30" spans="1:9" ht="18" customHeight="1" x14ac:dyDescent="0.25">
      <c r="A30" s="6"/>
      <c r="B30" s="6"/>
      <c r="C30" s="6"/>
      <c r="D30" s="6"/>
      <c r="E30" s="6"/>
      <c r="F30" s="6"/>
      <c r="G30" s="6"/>
      <c r="H30" s="6"/>
      <c r="I30" s="6"/>
    </row>
    <row r="31" spans="1:9" ht="18" customHeight="1" x14ac:dyDescent="0.25">
      <c r="A31" s="6"/>
      <c r="B31" s="6"/>
      <c r="C31" s="6"/>
      <c r="D31" s="6"/>
      <c r="E31" s="6"/>
      <c r="F31" s="6"/>
      <c r="G31" s="6"/>
      <c r="H31" s="6"/>
      <c r="I31" s="6"/>
    </row>
    <row r="32" spans="1:9" ht="18" customHeight="1" x14ac:dyDescent="0.25">
      <c r="A32" s="6"/>
      <c r="B32" s="6"/>
      <c r="C32" s="6"/>
      <c r="D32" s="6"/>
      <c r="E32" s="6"/>
      <c r="F32" s="6"/>
      <c r="G32" s="6"/>
      <c r="H32" s="6"/>
      <c r="I32" s="6"/>
    </row>
    <row r="33" spans="1:9" ht="18" customHeight="1" x14ac:dyDescent="0.25">
      <c r="A33" s="6"/>
      <c r="B33" s="6"/>
      <c r="C33" s="6"/>
      <c r="D33" s="6"/>
      <c r="E33" s="6"/>
      <c r="F33" s="6"/>
      <c r="G33" s="6"/>
      <c r="H33" s="6"/>
      <c r="I33" s="6"/>
    </row>
    <row r="34" spans="1:9" ht="18" customHeight="1" x14ac:dyDescent="0.25">
      <c r="A34" s="6"/>
      <c r="B34" s="6"/>
      <c r="C34" s="6"/>
      <c r="D34" s="6"/>
      <c r="E34" s="6"/>
      <c r="F34" s="6"/>
      <c r="G34" s="6"/>
      <c r="H34" s="6"/>
      <c r="I34" s="6"/>
    </row>
    <row r="35" spans="1:9" ht="18" customHeight="1" x14ac:dyDescent="0.25">
      <c r="A35" s="6"/>
      <c r="B35" s="6"/>
      <c r="C35" s="6"/>
      <c r="D35" s="6"/>
      <c r="E35" s="6"/>
      <c r="F35" s="6"/>
      <c r="G35" s="6"/>
      <c r="H35" s="6"/>
      <c r="I35" s="6"/>
    </row>
    <row r="36" spans="1:9" ht="18" customHeight="1" x14ac:dyDescent="0.25">
      <c r="A36" s="6"/>
      <c r="B36" s="6"/>
      <c r="C36" s="6"/>
      <c r="D36" s="6"/>
      <c r="E36" s="6"/>
      <c r="F36" s="6"/>
      <c r="G36" s="6"/>
      <c r="H36" s="6"/>
      <c r="I36" s="6"/>
    </row>
    <row r="37" spans="1:9" ht="18" customHeight="1" x14ac:dyDescent="0.25">
      <c r="A37" s="6"/>
      <c r="B37" s="6"/>
      <c r="C37" s="6"/>
      <c r="D37" s="6"/>
      <c r="E37" s="6"/>
      <c r="F37" s="6"/>
      <c r="G37" s="6"/>
      <c r="H37" s="6"/>
      <c r="I37" s="6"/>
    </row>
    <row r="38" spans="1:9" ht="18" customHeight="1" x14ac:dyDescent="0.25">
      <c r="A38" s="6"/>
      <c r="B38" s="6"/>
      <c r="C38" s="6"/>
      <c r="D38" s="6"/>
      <c r="E38" s="6"/>
      <c r="F38" s="6"/>
      <c r="G38" s="6"/>
      <c r="H38" s="6"/>
      <c r="I38" s="6"/>
    </row>
    <row r="39" spans="1:9" ht="18" customHeight="1" x14ac:dyDescent="0.25">
      <c r="A39" s="6"/>
      <c r="B39" s="6"/>
      <c r="C39" s="6"/>
      <c r="D39" s="6"/>
      <c r="E39" s="6"/>
      <c r="F39" s="6"/>
      <c r="G39" s="6"/>
      <c r="H39" s="6"/>
      <c r="I39" s="6"/>
    </row>
    <row r="40" spans="1:9" ht="18" customHeight="1" x14ac:dyDescent="0.25">
      <c r="A40" s="6"/>
      <c r="B40" s="6"/>
      <c r="C40" s="6"/>
      <c r="D40" s="6"/>
      <c r="E40" s="6"/>
      <c r="F40" s="6"/>
      <c r="G40" s="6"/>
      <c r="H40" s="6"/>
      <c r="I40" s="6"/>
    </row>
    <row r="41" spans="1:9" ht="18" customHeight="1" x14ac:dyDescent="0.25">
      <c r="A41" s="6"/>
      <c r="B41" s="6"/>
      <c r="C41" s="6"/>
      <c r="D41" s="6"/>
      <c r="E41" s="6"/>
      <c r="F41" s="6"/>
      <c r="G41" s="6"/>
      <c r="H41" s="6"/>
      <c r="I41" s="6"/>
    </row>
    <row r="42" spans="1:9" ht="18" customHeight="1" x14ac:dyDescent="0.25">
      <c r="A42" s="6"/>
      <c r="B42" s="6"/>
      <c r="C42" s="6"/>
      <c r="D42" s="6"/>
      <c r="E42" s="6"/>
      <c r="F42" s="6"/>
      <c r="G42" s="6"/>
      <c r="H42" s="6"/>
      <c r="I42" s="6"/>
    </row>
    <row r="43" spans="1:9" ht="18" customHeight="1" x14ac:dyDescent="0.25">
      <c r="A43" s="6"/>
      <c r="B43" s="6"/>
      <c r="C43" s="6"/>
      <c r="D43" s="6"/>
      <c r="E43" s="6"/>
      <c r="F43" s="6"/>
      <c r="G43" s="6"/>
      <c r="H43" s="6"/>
      <c r="I43" s="6"/>
    </row>
  </sheetData>
  <pageMargins left="0.75" right="0.75" top="1" bottom="1" header="0.5" footer="0.5"/>
  <pageSetup scale="4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view="pageBreakPreview" zoomScaleNormal="160" zoomScaleSheetLayoutView="100" workbookViewId="0">
      <selection activeCell="C21" sqref="C21"/>
    </sheetView>
  </sheetViews>
  <sheetFormatPr defaultRowHeight="20.100000000000001" customHeight="1" x14ac:dyDescent="0.25"/>
  <cols>
    <col min="1" max="10" width="20" style="2" customWidth="1"/>
    <col min="11" max="16384" width="9.140625" style="2"/>
  </cols>
  <sheetData>
    <row r="1" spans="1:10" ht="20.100000000000001" customHeight="1" x14ac:dyDescent="0.25">
      <c r="A1" s="1" t="s">
        <v>53</v>
      </c>
      <c r="B1" s="1"/>
      <c r="C1" s="1"/>
      <c r="D1" s="1"/>
      <c r="E1" s="1"/>
      <c r="F1" s="1"/>
      <c r="G1" s="1"/>
      <c r="H1" s="1"/>
      <c r="I1" s="1"/>
      <c r="J1" s="1"/>
    </row>
    <row r="2" spans="1:10" ht="20.100000000000001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6" spans="1:10" ht="20.100000000000001" customHeight="1" x14ac:dyDescent="0.25">
      <c r="A6" s="4" t="s">
        <v>33</v>
      </c>
      <c r="B6" s="4" t="s">
        <v>2</v>
      </c>
      <c r="C6" s="4" t="s">
        <v>3</v>
      </c>
      <c r="D6" s="4" t="s">
        <v>5</v>
      </c>
      <c r="E6" s="4" t="s">
        <v>34</v>
      </c>
      <c r="F6" s="4" t="s">
        <v>35</v>
      </c>
      <c r="G6" s="4" t="s">
        <v>36</v>
      </c>
      <c r="H6" s="4" t="s">
        <v>37</v>
      </c>
      <c r="I6" s="4" t="s">
        <v>7</v>
      </c>
      <c r="J6" s="4" t="s">
        <v>38</v>
      </c>
    </row>
    <row r="7" spans="1:10" ht="20.100000000000001" customHeight="1" x14ac:dyDescent="0.25">
      <c r="A7" s="2" t="s">
        <v>39</v>
      </c>
      <c r="B7" s="2" t="s">
        <v>8</v>
      </c>
      <c r="C7" s="2" t="str">
        <f>VLOOKUP(B7, PARTS_MASTER!$A$5:$G$103, 2, FALSE)</f>
        <v>PN-7788</v>
      </c>
      <c r="D7" s="2" t="str">
        <f>VLOOKUP(B7, PARTS_MASTER!$A$5:$G$103, 4, FALSE)</f>
        <v>Cisco</v>
      </c>
      <c r="E7" s="2" t="s">
        <v>40</v>
      </c>
      <c r="F7" s="2" t="s">
        <v>41</v>
      </c>
      <c r="G7" s="2" t="s">
        <v>42</v>
      </c>
      <c r="H7" s="2">
        <v>1</v>
      </c>
      <c r="I7" s="2">
        <f>VLOOKUP(B7, PARTS_MASTER!$A$5:$G$103, 6, FALSE)</f>
        <v>1200</v>
      </c>
      <c r="J7" s="2">
        <f>H7*I7</f>
        <v>1200</v>
      </c>
    </row>
    <row r="8" spans="1:10" ht="20.100000000000001" customHeight="1" x14ac:dyDescent="0.25">
      <c r="A8" s="2" t="s">
        <v>39</v>
      </c>
      <c r="B8" s="2" t="s">
        <v>13</v>
      </c>
      <c r="C8" s="2" t="str">
        <f>VLOOKUP(B8, PARTS_MASTER!$A$5:$G$103, 2, FALSE)</f>
        <v>LIC-9900</v>
      </c>
      <c r="D8" s="2" t="str">
        <f>VLOOKUP(B8, PARTS_MASTER!$A$5:$G$103, 4, FALSE)</f>
        <v>Fortinet</v>
      </c>
      <c r="E8" s="2" t="s">
        <v>41</v>
      </c>
      <c r="F8" s="2" t="s">
        <v>43</v>
      </c>
      <c r="G8" s="2" t="s">
        <v>44</v>
      </c>
      <c r="H8" s="2">
        <v>2</v>
      </c>
      <c r="I8" s="2">
        <f>VLOOKUP(B8, PARTS_MASTER!$A$5:$G$103, 6, FALSE)</f>
        <v>500</v>
      </c>
      <c r="J8" s="2">
        <f>H8*I8</f>
        <v>1000</v>
      </c>
    </row>
    <row r="9" spans="1:10" ht="20.100000000000001" customHeight="1" x14ac:dyDescent="0.25">
      <c r="A9" s="2" t="s">
        <v>45</v>
      </c>
      <c r="B9" s="2" t="s">
        <v>18</v>
      </c>
      <c r="C9" s="2" t="str">
        <f>VLOOKUP(B9, PARTS_MASTER!$A$5:$G$103, 2, FALSE)</f>
        <v>PN-5544</v>
      </c>
      <c r="D9" s="2" t="str">
        <f>VLOOKUP(B9, PARTS_MASTER!$A$5:$G$103, 4, FALSE)</f>
        <v>Aruba</v>
      </c>
      <c r="E9" s="2" t="s">
        <v>46</v>
      </c>
      <c r="F9" s="2" t="s">
        <v>41</v>
      </c>
      <c r="G9" s="2" t="s">
        <v>47</v>
      </c>
      <c r="H9" s="2">
        <v>5</v>
      </c>
      <c r="I9" s="2">
        <f>VLOOKUP(B9, PARTS_MASTER!$A$5:$G$103, 6, FALSE)</f>
        <v>350</v>
      </c>
      <c r="J9" s="2">
        <f>H9*I9</f>
        <v>1750</v>
      </c>
    </row>
    <row r="10" spans="1:10" ht="20.100000000000001" customHeight="1" x14ac:dyDescent="0.25">
      <c r="A10" s="2" t="s">
        <v>48</v>
      </c>
      <c r="B10" s="2" t="s">
        <v>23</v>
      </c>
      <c r="C10" s="2" t="str">
        <f>VLOOKUP(B10, PARTS_MASTER!$A$5:$G$103, 2, FALSE)</f>
        <v>LIC-1122</v>
      </c>
      <c r="D10" s="2" t="str">
        <f>VLOOKUP(B10, PARTS_MASTER!$A$5:$G$103, 4, FALSE)</f>
        <v>SolarWinds</v>
      </c>
      <c r="E10" s="2" t="s">
        <v>41</v>
      </c>
      <c r="F10" s="2" t="s">
        <v>49</v>
      </c>
      <c r="G10" s="2" t="s">
        <v>50</v>
      </c>
      <c r="H10" s="2">
        <v>1</v>
      </c>
      <c r="I10" s="2">
        <f>VLOOKUP(B10, PARTS_MASTER!$A$5:$G$103, 6, FALSE)</f>
        <v>800</v>
      </c>
      <c r="J10" s="2">
        <f>H10*I10</f>
        <v>800</v>
      </c>
    </row>
    <row r="11" spans="1:10" ht="20.100000000000001" customHeight="1" x14ac:dyDescent="0.25">
      <c r="A11" s="2" t="s">
        <v>39</v>
      </c>
      <c r="B11" s="2" t="s">
        <v>28</v>
      </c>
      <c r="C11" s="2" t="str">
        <f>VLOOKUP(B11, PARTS_MASTER!$A$5:$G$103, 2, FALSE)</f>
        <v>PN-2233</v>
      </c>
      <c r="D11" s="2" t="str">
        <f>VLOOKUP(B11, PARTS_MASTER!$A$5:$G$103, 4, FALSE)</f>
        <v>Ubiquiti</v>
      </c>
      <c r="E11" s="2" t="s">
        <v>51</v>
      </c>
      <c r="F11" s="2" t="s">
        <v>41</v>
      </c>
      <c r="G11" s="2" t="s">
        <v>52</v>
      </c>
      <c r="H11" s="2">
        <v>3</v>
      </c>
      <c r="I11" s="2">
        <f>VLOOKUP(B11, PARTS_MASTER!$A$5:$G$103, 6, FALSE)</f>
        <v>450</v>
      </c>
      <c r="J11" s="2">
        <f>H11*I11</f>
        <v>1350</v>
      </c>
    </row>
  </sheetData>
  <mergeCells count="1">
    <mergeCell ref="A1:J2"/>
  </mergeCells>
  <pageMargins left="0.75" right="0.75" top="1" bottom="1" header="0.5" footer="0.5"/>
  <pageSetup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DASHBOARD</vt:lpstr>
      <vt:lpstr>PARTS_MASTER</vt:lpstr>
      <vt:lpstr>BOM_PROJECT</vt:lpstr>
      <vt:lpstr>BOM_PROJECT!Print_Area</vt:lpstr>
      <vt:lpstr>DASHBOARD!Print_Area</vt:lpstr>
      <vt:lpstr>PARTS_MASTER!Print_Area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Mnetz</cp:lastModifiedBy>
  <dcterms:created xsi:type="dcterms:W3CDTF">2026-05-06T14:08:10Z</dcterms:created>
  <dcterms:modified xsi:type="dcterms:W3CDTF">2026-05-06T20:36:26Z</dcterms:modified>
</cp:coreProperties>
</file>