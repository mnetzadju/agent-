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xcel Agent\"/>
    </mc:Choice>
  </mc:AlternateContent>
  <bookViews>
    <workbookView xWindow="0" yWindow="0" windowWidth="38400" windowHeight="17985" activeTab="1"/>
  </bookViews>
  <sheets>
    <sheet name="SUPPLIER_SCORECARD" sheetId="1" r:id="rId1"/>
    <sheet name="LOST_ITEMS_TRACKER" sheetId="2" r:id="rId2"/>
  </sheets>
  <calcPr calcId="152511"/>
</workbook>
</file>

<file path=xl/calcChain.xml><?xml version="1.0" encoding="utf-8"?>
<calcChain xmlns="http://schemas.openxmlformats.org/spreadsheetml/2006/main">
  <c r="H7" i="2" l="1"/>
  <c r="K7" i="2" s="1"/>
  <c r="H6" i="2"/>
  <c r="K6" i="2" s="1"/>
  <c r="H5" i="2"/>
  <c r="K5" i="2" s="1"/>
  <c r="K4" i="2"/>
  <c r="I4" i="2"/>
  <c r="H4" i="2"/>
  <c r="C5" i="1" l="1"/>
  <c r="I6" i="2"/>
  <c r="C4" i="1"/>
  <c r="I5" i="2"/>
  <c r="I7" i="2"/>
</calcChain>
</file>

<file path=xl/sharedStrings.xml><?xml version="1.0" encoding="utf-8"?>
<sst xmlns="http://schemas.openxmlformats.org/spreadsheetml/2006/main" count="29" uniqueCount="26">
  <si>
    <t>?? SUPPLIER PERFORMANCE &amp; LOSS TRACKER</t>
  </si>
  <si>
    <t>TOTAL LOST ITEMS:</t>
  </si>
  <si>
    <t>TOTAL FINANCIAL LOSS:</t>
  </si>
  <si>
    <t>PO_Number</t>
  </si>
  <si>
    <t>Supplier</t>
  </si>
  <si>
    <t>Part_Number</t>
  </si>
  <si>
    <t>Qty_Ordered</t>
  </si>
  <si>
    <t>Qty_Received</t>
  </si>
  <si>
    <t>Date_Received</t>
  </si>
  <si>
    <t>Qty_Lost</t>
  </si>
  <si>
    <t>Status</t>
  </si>
  <si>
    <t>Unit_Cost</t>
  </si>
  <si>
    <t>Total_Loss_Value</t>
  </si>
  <si>
    <t>PO-2026-001</t>
  </si>
  <si>
    <t>Nexus IT</t>
  </si>
  <si>
    <t>HW-001</t>
  </si>
  <si>
    <t>2026-05-01</t>
  </si>
  <si>
    <t>PAS-001</t>
  </si>
  <si>
    <t>PO-2026-002</t>
  </si>
  <si>
    <t>CyberSafe</t>
  </si>
  <si>
    <t>SW-002</t>
  </si>
  <si>
    <t>2026-05-03</t>
  </si>
  <si>
    <t>PO-2026-003</t>
  </si>
  <si>
    <t>GlobalNet</t>
  </si>
  <si>
    <t>HW-003</t>
  </si>
  <si>
    <t>2026-05-04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</si>
</sst>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1"/>
      <color rgb="FFFF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3" fillId="2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5"/>
  <sheetViews>
    <sheetView workbookViewId="0"/>
  </sheetViews>
  <sheetFormatPr defaultRowHeight="15" x14ac:dyDescent="0.25"/>
  <cols>
    <col min="2" max="2" width="60.140625" bestFit="1" customWidth="1"/>
  </cols>
  <sheetData>
    <row r="2" spans="2:3" ht="21" x14ac:dyDescent="0.35">
      <c r="B2" s="1" t="s">
        <v>0</v>
      </c>
    </row>
    <row r="4" spans="2:3" x14ac:dyDescent="0.25">
      <c r="B4" t="s">
        <v>1</v>
      </c>
      <c r="C4">
        <f>SUM(LOST_ITEMS_TRACKER!H4:H102)</f>
        <v>9</v>
      </c>
    </row>
    <row r="5" spans="2:3" x14ac:dyDescent="0.25">
      <c r="B5" t="s">
        <v>2</v>
      </c>
      <c r="C5" s="2">
        <f>SUM(LOST_ITEMS_TRACKER!K4:K102)</f>
        <v>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7"/>
  <sheetViews>
    <sheetView tabSelected="1" zoomScale="160" zoomScaleNormal="160" workbookViewId="0">
      <selection activeCell="E9" sqref="E9"/>
    </sheetView>
  </sheetViews>
  <sheetFormatPr defaultRowHeight="15" x14ac:dyDescent="0.25"/>
  <cols>
    <col min="2" max="11" width="20" customWidth="1"/>
  </cols>
  <sheetData>
    <row r="3" spans="2:11" x14ac:dyDescent="0.25"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spans="2:11" x14ac:dyDescent="0.25">
      <c r="B4" t="s">
        <v>13</v>
      </c>
      <c r="C4" t="s">
        <v>14</v>
      </c>
      <c r="D4" t="s">
        <v>15</v>
      </c>
      <c r="E4">
        <v>10</v>
      </c>
      <c r="F4">
        <v>9</v>
      </c>
      <c r="G4" t="s">
        <v>16</v>
      </c>
      <c r="H4">
        <f>E4-F4</f>
        <v>1</v>
      </c>
      <c r="I4" t="str">
        <f>IF(H4&gt;0, "?? DISCREPANCY", "? COMPLETE")</f>
        <v>?? DISCREPANCY</v>
      </c>
      <c r="J4">
        <v>100</v>
      </c>
      <c r="K4" s="4">
        <f>H4*J4</f>
        <v>100</v>
      </c>
    </row>
    <row r="5" spans="2:11" x14ac:dyDescent="0.25">
      <c r="B5" t="s">
        <v>13</v>
      </c>
      <c r="C5" t="s">
        <v>14</v>
      </c>
      <c r="D5" t="s">
        <v>17</v>
      </c>
      <c r="E5">
        <v>50</v>
      </c>
      <c r="F5">
        <v>50</v>
      </c>
      <c r="G5" t="s">
        <v>16</v>
      </c>
      <c r="H5">
        <f>E5-F5</f>
        <v>0</v>
      </c>
      <c r="I5" t="str">
        <f>IF(H5&gt;0, "?? DISCREPANCY", "? COMPLETE")</f>
        <v>? COMPLETE</v>
      </c>
      <c r="J5">
        <v>100</v>
      </c>
      <c r="K5" s="4">
        <f>H5*J5</f>
        <v>0</v>
      </c>
    </row>
    <row r="6" spans="2:11" x14ac:dyDescent="0.25">
      <c r="B6" t="s">
        <v>18</v>
      </c>
      <c r="C6" t="s">
        <v>19</v>
      </c>
      <c r="D6" t="s">
        <v>20</v>
      </c>
      <c r="E6">
        <v>10</v>
      </c>
      <c r="F6">
        <v>2</v>
      </c>
      <c r="G6" t="s">
        <v>21</v>
      </c>
      <c r="H6">
        <f>E6-F6</f>
        <v>8</v>
      </c>
      <c r="I6" t="str">
        <f>IF(H6&gt;0, "?? DISCREPANCY", "? COMPLETE")</f>
        <v>?? DISCREPANCY</v>
      </c>
      <c r="J6">
        <v>100</v>
      </c>
      <c r="K6" s="4">
        <f>H6*J6</f>
        <v>800</v>
      </c>
    </row>
    <row r="7" spans="2:11" x14ac:dyDescent="0.25">
      <c r="B7" t="s">
        <v>22</v>
      </c>
      <c r="C7" t="s">
        <v>23</v>
      </c>
      <c r="D7" t="s">
        <v>24</v>
      </c>
      <c r="E7">
        <v>20</v>
      </c>
      <c r="F7">
        <v>20</v>
      </c>
      <c r="G7" t="s">
        <v>25</v>
      </c>
      <c r="H7">
        <f>E7-F7</f>
        <v>0</v>
      </c>
      <c r="I7" t="str">
        <f>IF(H7&gt;0, "?? DISCREPANCY", "? COMPLETE")</f>
        <v>? COMPLETE</v>
      </c>
      <c r="J7">
        <v>100</v>
      </c>
      <c r="K7" s="4">
        <f>H7*J7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SUPPLIER_SCORECARD</vt:lpstr>
      <vt:lpstr>LOST_ITEMS_TRACKER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Mnetz</cp:lastModifiedBy>
  <dcterms:created xsi:type="dcterms:W3CDTF">2026-05-20T22:10:16Z</dcterms:created>
  <dcterms:modified xsi:type="dcterms:W3CDTF">2026-05-20T22:17:10Z</dcterms:modified>
</cp:coreProperties>
</file>