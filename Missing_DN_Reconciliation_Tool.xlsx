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_SUMMARY" sheetId="1" state="visible" r:id="rId1"/>
    <sheet xmlns:r="http://schemas.openxmlformats.org/officeDocument/2006/relationships" name="RECONCILIAT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?? DELIVERY DISCREPANCY &amp; MISSING DN SUMMARY</t>
        </is>
      </c>
    </row>
    <row r="4">
      <c r="B4" t="inlineStr">
        <is>
          <t>TOTAL INCIDENTS (MISSING DN):</t>
        </is>
      </c>
      <c r="C4">
        <f>COUNTIF(RECONCILIATION_LOG!F2:F100, "Missing")</f>
        <v/>
      </c>
    </row>
    <row r="5">
      <c r="B5" t="inlineStr">
        <is>
          <t>TOTAL SHORTAGES DETECTED:</t>
        </is>
      </c>
      <c r="C5">
        <f>COUNTIF(RECONCILIATION_LOG!I2:I100, "?? SHORTAGE")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2" t="inlineStr">
        <is>
          <t>PO_Reference</t>
        </is>
      </c>
      <c r="B1" s="2" t="inlineStr">
        <is>
          <t>Item_ID</t>
        </is>
      </c>
      <c r="C1" s="2" t="inlineStr">
        <is>
          <t>Description</t>
        </is>
      </c>
      <c r="D1" s="2" t="inlineStr">
        <is>
          <t>Qty_Expected_PO</t>
        </is>
      </c>
      <c r="E1" s="2" t="inlineStr">
        <is>
          <t>Qty_Physical_Count</t>
        </is>
      </c>
      <c r="F1" s="2" t="inlineStr">
        <is>
          <t>DN_Status</t>
        </is>
      </c>
      <c r="G1" s="2" t="inlineStr">
        <is>
          <t>Receiver_Name</t>
        </is>
      </c>
      <c r="H1" s="2" t="inlineStr">
        <is>
          <t>Variance</t>
        </is>
      </c>
      <c r="I1" s="2" t="inlineStr">
        <is>
          <t>Audit_Result</t>
        </is>
      </c>
      <c r="J1" s="2" t="inlineStr">
        <is>
          <t>Action_Required</t>
        </is>
      </c>
    </row>
    <row r="2">
      <c r="A2" t="inlineStr">
        <is>
          <t>PO-2026-101</t>
        </is>
      </c>
      <c r="B2" t="inlineStr">
        <is>
          <t>ACT-001</t>
        </is>
      </c>
      <c r="C2" t="inlineStr">
        <is>
          <t>Core Switch</t>
        </is>
      </c>
      <c r="D2" t="n">
        <v>2</v>
      </c>
      <c r="E2" t="n">
        <v>2</v>
      </c>
      <c r="F2" t="inlineStr">
        <is>
          <t>Missing</t>
        </is>
      </c>
      <c r="G2" t="inlineStr">
        <is>
          <t>BOM_Engineer_1</t>
        </is>
      </c>
      <c r="H2">
        <f>D2-E2</f>
        <v/>
      </c>
      <c r="I2">
        <f>IF(H2&gt;0, "?? SHORTAGE", IF(H2&lt;0, "? EXCESS", "? MATCHED"))</f>
        <v/>
      </c>
      <c r="J2">
        <f>IF(AND(F2="Missing", H2&gt;0), "? IMMEDIATE CLAIM (NO DN)", IF(F2="Missing", "?? REQUEST DN PDF", "NONE"))</f>
        <v/>
      </c>
    </row>
    <row r="3">
      <c r="A3" t="inlineStr">
        <is>
          <t>PO-2026-101</t>
        </is>
      </c>
      <c r="B3" t="inlineStr">
        <is>
          <t>PAS-002</t>
        </is>
      </c>
      <c r="C3" t="inlineStr">
        <is>
          <t>Cat6 Patch Cord</t>
        </is>
      </c>
      <c r="D3" t="n">
        <v>50</v>
      </c>
      <c r="E3" t="n">
        <v>45</v>
      </c>
      <c r="F3" t="inlineStr">
        <is>
          <t>Missing</t>
        </is>
      </c>
      <c r="G3" t="inlineStr">
        <is>
          <t>BOM_Engineer_1</t>
        </is>
      </c>
      <c r="H3">
        <f>D3-E3</f>
        <v/>
      </c>
      <c r="I3">
        <f>IF(H3&gt;0, "?? SHORTAGE", IF(H3&lt;0, "? EXCESS", "? MATCHED"))</f>
        <v/>
      </c>
      <c r="J3">
        <f>IF(AND(F3="Missing", H3&gt;0), "? IMMEDIATE CLAIM (NO DN)", IF(F3="Missing", "?? REQUEST DN PDF", "NONE"))</f>
        <v/>
      </c>
    </row>
    <row r="4">
      <c r="A4" t="inlineStr">
        <is>
          <t>PO-2026-105</t>
        </is>
      </c>
      <c r="B4" t="inlineStr">
        <is>
          <t>HW-005</t>
        </is>
      </c>
      <c r="C4" t="inlineStr">
        <is>
          <t>24-Port Switch</t>
        </is>
      </c>
      <c r="D4" t="n">
        <v>5</v>
      </c>
      <c r="E4" t="n">
        <v>5</v>
      </c>
      <c r="F4" t="inlineStr">
        <is>
          <t>Attached</t>
        </is>
      </c>
      <c r="G4" t="inlineStr">
        <is>
          <t>Warehouse_Staff</t>
        </is>
      </c>
      <c r="H4">
        <f>D4-E4</f>
        <v/>
      </c>
      <c r="I4">
        <f>IF(H4&gt;0, "?? SHORTAGE", IF(H4&lt;0, "? EXCESS", "? MATCHED"))</f>
        <v/>
      </c>
      <c r="J4">
        <f>IF(AND(F4="Missing", H4&gt;0), "? IMMEDIATE CLAIM (NO DN)", IF(F4="Missing", "?? REQUEST DN PDF", "NONE"))</f>
        <v/>
      </c>
    </row>
    <row r="5">
      <c r="A5" t="inlineStr">
        <is>
          <t>PO-2026-110</t>
        </is>
      </c>
      <c r="B5" t="inlineStr">
        <is>
          <t>SW-004</t>
        </is>
      </c>
      <c r="C5" t="inlineStr">
        <is>
          <t>Firewall License</t>
        </is>
      </c>
      <c r="D5" t="n">
        <v>1</v>
      </c>
      <c r="E5" t="n">
        <v>0</v>
      </c>
      <c r="F5" t="inlineStr">
        <is>
          <t>Missing</t>
        </is>
      </c>
      <c r="G5" t="inlineStr">
        <is>
          <t>BOM_Engineer_1</t>
        </is>
      </c>
      <c r="H5">
        <f>D5-E5</f>
        <v/>
      </c>
      <c r="I5">
        <f>IF(H5&gt;0, "?? SHORTAGE", IF(H5&lt;0, "? EXCESS", "? MATCHED"))</f>
        <v/>
      </c>
      <c r="J5">
        <f>IF(AND(F5="Missing", H5&gt;0), "? IMMEDIATE CLAIM (NO DN)", IF(F5="Missing", "?? REQUEST DN PDF", "NONE"))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2026-05-20T22:20:39Z</dcterms:created>
  <dcterms:modified xmlns:dcterms="http://purl.org/dc/terms/" xmlns:xsi="http://www.w3.org/2001/XMLSchema-instance" xsi:type="dcterms:W3CDTF">2026-05-20T22:20:39Z</dcterms:modified>
</cp:coreProperties>
</file>