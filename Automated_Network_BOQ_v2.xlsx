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PRICE_LIST" sheetId="1" state="visible" r:id="rId1"/>
    <sheet name="BOQ_ENGI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color rgb="00FF0000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4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PART_NUMBER</t>
        </is>
      </c>
      <c r="B1" t="inlineStr">
        <is>
          <t>DESCRIPTION</t>
        </is>
      </c>
      <c r="C1" t="inlineStr">
        <is>
          <t>UNIT_COST</t>
        </is>
      </c>
    </row>
    <row r="2">
      <c r="A2" t="inlineStr">
        <is>
          <t>CISCO-9200L</t>
        </is>
      </c>
      <c r="B2" t="inlineStr">
        <is>
          <t>Cisco 24-Port Switch</t>
        </is>
      </c>
      <c r="C2" t="n">
        <v>2850</v>
      </c>
    </row>
    <row r="3">
      <c r="A3" t="inlineStr">
        <is>
          <t>FORTI-60F</t>
        </is>
      </c>
      <c r="B3" t="inlineStr">
        <is>
          <t>FortiGate Firewall</t>
        </is>
      </c>
      <c r="C3" t="n">
        <v>1450</v>
      </c>
    </row>
    <row r="4">
      <c r="A4" t="inlineStr">
        <is>
          <t>ARUBA-AP505</t>
        </is>
      </c>
      <c r="B4" t="inlineStr">
        <is>
          <t>Aruba Access Point</t>
        </is>
      </c>
      <c r="C4" t="n">
        <v>480</v>
      </c>
    </row>
    <row r="5">
      <c r="A5" t="inlineStr">
        <is>
          <t>PANDUIT-CAT6</t>
        </is>
      </c>
      <c r="B5" t="inlineStr">
        <is>
          <t>Cat6 UTP Cable Box</t>
        </is>
      </c>
      <c r="C5" t="n">
        <v>195</v>
      </c>
    </row>
    <row r="6">
      <c r="A6" t="inlineStr">
        <is>
          <t>APC-42U-RACK</t>
        </is>
      </c>
      <c r="B6" t="inlineStr">
        <is>
          <t>APC Data Cabinet</t>
        </is>
      </c>
      <c r="C6" t="n">
        <v>1250</v>
      </c>
    </row>
    <row r="7">
      <c r="A7" t="inlineStr">
        <is>
          <t>LABOR-NST</t>
        </is>
      </c>
      <c r="B7" t="inlineStr">
        <is>
          <t>Installation Labor</t>
        </is>
      </c>
      <c r="C7" t="n">
        <v>75</v>
      </c>
    </row>
    <row r="8">
      <c r="A8" t="inlineStr">
        <is>
          <t>SVC-CONFIG</t>
        </is>
      </c>
      <c r="B8" t="inlineStr">
        <is>
          <t>Network Config Service</t>
        </is>
      </c>
      <c r="C8" t="n">
        <v>1500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FULLY AUTOMATED NETWORK BOQ ENGINE</t>
        </is>
      </c>
    </row>
    <row r="2">
      <c r="E2" t="inlineStr">
        <is>
          <t>GRAND TOTAL:</t>
        </is>
      </c>
      <c r="F2" s="2">
        <f>SUM(F5:F100)</f>
        <v/>
      </c>
    </row>
    <row r="3"/>
    <row r="4">
      <c r="A4" s="3" t="inlineStr">
        <is>
          <t>CATEGORY</t>
        </is>
      </c>
      <c r="B4" s="3" t="inlineStr">
        <is>
          <t>PART_NUMBER</t>
        </is>
      </c>
      <c r="C4" s="3" t="inlineStr">
        <is>
          <t>DESCRIPTION (AUTO)</t>
        </is>
      </c>
      <c r="D4" s="3" t="inlineStr">
        <is>
          <t>QTY</t>
        </is>
      </c>
      <c r="E4" s="3" t="inlineStr">
        <is>
          <t>UNIT_COST (AUTO)</t>
        </is>
      </c>
      <c r="F4" s="3" t="inlineStr">
        <is>
          <t>LINE_TOTAL (AUTO)</t>
        </is>
      </c>
    </row>
    <row r="5">
      <c r="A5" t="inlineStr">
        <is>
          <t>Active</t>
        </is>
      </c>
      <c r="B5" t="inlineStr"/>
      <c r="C5">
        <f>IFERROR(XLOOKUP(B2, MASTER_PRICE_LIST!A:A, MASTER_PRICE_LIST!B:B), "--- Select Part ---")</f>
        <v/>
      </c>
      <c r="D5" t="n">
        <v>1</v>
      </c>
      <c r="E5" s="4">
        <f>IFERROR(XLOOKUP(B2, MASTER_PRICE_LIST!A:A, MASTER_PRICE_LIST!C:C), 0)</f>
        <v/>
      </c>
      <c r="F5" s="4">
        <f>D2*E2</f>
        <v/>
      </c>
    </row>
    <row r="6">
      <c r="A6" t="inlineStr">
        <is>
          <t>Active</t>
        </is>
      </c>
      <c r="B6" t="inlineStr"/>
      <c r="C6">
        <f>IFERROR(XLOOKUP(B3, MASTER_PRICE_LIST!A:A, MASTER_PRICE_LIST!B:B), "--- Select Part ---")</f>
        <v/>
      </c>
      <c r="D6" t="n">
        <v>1</v>
      </c>
      <c r="E6" s="4">
        <f>IFERROR(XLOOKUP(B3, MASTER_PRICE_LIST!A:A, MASTER_PRICE_LIST!C:C), 0)</f>
        <v/>
      </c>
      <c r="F6" s="4">
        <f>D3*E3</f>
        <v/>
      </c>
    </row>
    <row r="7">
      <c r="A7" t="inlineStr">
        <is>
          <t>Passive</t>
        </is>
      </c>
      <c r="B7" t="inlineStr"/>
      <c r="C7">
        <f>IFERROR(XLOOKUP(B4, MASTER_PRICE_LIST!A:A, MASTER_PRICE_LIST!B:B), "--- Select Part ---")</f>
        <v/>
      </c>
      <c r="D7" t="n">
        <v>1</v>
      </c>
      <c r="E7" s="4">
        <f>IFERROR(XLOOKUP(B4, MASTER_PRICE_LIST!A:A, MASTER_PRICE_LIST!C:C), 0)</f>
        <v/>
      </c>
      <c r="F7" s="4">
        <f>D4*E4</f>
        <v/>
      </c>
    </row>
    <row r="8">
      <c r="A8" t="inlineStr">
        <is>
          <t>Services</t>
        </is>
      </c>
      <c r="B8" t="inlineStr"/>
      <c r="C8">
        <f>IFERROR(XLOOKUP(B5, MASTER_PRICE_LIST!A:A, MASTER_PRICE_LIST!B:B), "--- Select Part ---")</f>
        <v/>
      </c>
      <c r="D8" t="n">
        <v>1</v>
      </c>
      <c r="E8" s="4">
        <f>IFERROR(XLOOKUP(B5, MASTER_PRICE_LIST!A:A, MASTER_PRICE_LIST!C:C), 0)</f>
        <v/>
      </c>
      <c r="F8" s="4">
        <f>D5*E5</f>
        <v/>
      </c>
    </row>
    <row r="9">
      <c r="A9" t="inlineStr"/>
      <c r="B9" t="inlineStr"/>
      <c r="C9">
        <f>IFERROR(XLOOKUP(B6, MASTER_PRICE_LIST!A:A, MASTER_PRICE_LIST!B:B), "--- Select Part ---")</f>
        <v/>
      </c>
      <c r="D9" t="n">
        <v>0</v>
      </c>
      <c r="E9" s="4">
        <f>IFERROR(XLOOKUP(B6, MASTER_PRICE_LIST!A:A, MASTER_PRICE_LIST!C:C), 0)</f>
        <v/>
      </c>
      <c r="F9" s="4">
        <f>D6*E6</f>
        <v/>
      </c>
    </row>
    <row r="10">
      <c r="A10" t="inlineStr"/>
      <c r="B10" t="inlineStr"/>
      <c r="C10">
        <f>IFERROR(XLOOKUP(B7, MASTER_PRICE_LIST!A:A, MASTER_PRICE_LIST!B:B), "--- Select Part ---")</f>
        <v/>
      </c>
      <c r="D10" t="n">
        <v>0</v>
      </c>
      <c r="E10" s="4">
        <f>IFERROR(XLOOKUP(B7, MASTER_PRICE_LIST!A:A, MASTER_PRICE_LIST!C:C), 0)</f>
        <v/>
      </c>
      <c r="F10" s="4">
        <f>D7*E7</f>
        <v/>
      </c>
    </row>
    <row r="11">
      <c r="A11" t="inlineStr"/>
      <c r="B11" t="inlineStr"/>
      <c r="C11">
        <f>IFERROR(XLOOKUP(B8, MASTER_PRICE_LIST!A:A, MASTER_PRICE_LIST!B:B), "--- Select Part ---")</f>
        <v/>
      </c>
      <c r="D11" t="n">
        <v>0</v>
      </c>
      <c r="E11" s="4">
        <f>IFERROR(XLOOKUP(B8, MASTER_PRICE_LIST!A:A, MASTER_PRICE_LIST!C:C), 0)</f>
        <v/>
      </c>
      <c r="F11" s="4">
        <f>D8*E8</f>
        <v/>
      </c>
    </row>
    <row r="12">
      <c r="C12">
        <f>IFERROR(XLOOKUP(B9, MASTER_PRICE_LIST!A:A, MASTER_PRICE_LIST!B:B), "--- Select Part ---")</f>
        <v/>
      </c>
      <c r="E12" s="4">
        <f>IFERROR(XLOOKUP(B9, MASTER_PRICE_LIST!A:A, MASTER_PRICE_LIST!C:C), 0)</f>
        <v/>
      </c>
      <c r="F12" s="4">
        <f>D9*E9</f>
        <v/>
      </c>
    </row>
    <row r="13">
      <c r="C13">
        <f>IFERROR(XLOOKUP(B10, MASTER_PRICE_LIST!A:A, MASTER_PRICE_LIST!B:B), "--- Select Part ---")</f>
        <v/>
      </c>
      <c r="E13" s="4">
        <f>IFERROR(XLOOKUP(B10, MASTER_PRICE_LIST!A:A, MASTER_PRICE_LIST!C:C), 0)</f>
        <v/>
      </c>
      <c r="F13" s="4">
        <f>D10*E10</f>
        <v/>
      </c>
    </row>
    <row r="14">
      <c r="C14">
        <f>IFERROR(XLOOKUP(B11, MASTER_PRICE_LIST!A:A, MASTER_PRICE_LIST!B:B), "--- Select Part ---")</f>
        <v/>
      </c>
      <c r="E14" s="4">
        <f>IFERROR(XLOOKUP(B11, MASTER_PRICE_LIST!A:A, MASTER_PRICE_LIST!C:C), 0)</f>
        <v/>
      </c>
      <c r="F14" s="4">
        <f>D11*E11</f>
        <v/>
      </c>
    </row>
    <row r="15">
      <c r="C15">
        <f>IFERROR(XLOOKUP(B12, MASTER_PRICE_LIST!A:A, MASTER_PRICE_LIST!B:B), "--- Select Part ---")</f>
        <v/>
      </c>
      <c r="E15" s="4">
        <f>IFERROR(XLOOKUP(B12, MASTER_PRICE_LIST!A:A, MASTER_PRICE_LIST!C:C), 0)</f>
        <v/>
      </c>
      <c r="F15" s="4">
        <f>D12*E12</f>
        <v/>
      </c>
    </row>
    <row r="16">
      <c r="C16">
        <f>IFERROR(XLOOKUP(B13, MASTER_PRICE_LIST!A:A, MASTER_PRICE_LIST!B:B), "--- Select Part ---")</f>
        <v/>
      </c>
      <c r="E16" s="4">
        <f>IFERROR(XLOOKUP(B13, MASTER_PRICE_LIST!A:A, MASTER_PRICE_LIST!C:C), 0)</f>
        <v/>
      </c>
      <c r="F16" s="4">
        <f>D13*E13</f>
        <v/>
      </c>
    </row>
    <row r="17">
      <c r="C17">
        <f>IFERROR(XLOOKUP(B14, MASTER_PRICE_LIST!A:A, MASTER_PRICE_LIST!B:B), "--- Select Part ---")</f>
        <v/>
      </c>
      <c r="E17" s="4">
        <f>IFERROR(XLOOKUP(B14, MASTER_PRICE_LIST!A:A, MASTER_PRICE_LIST!C:C), 0)</f>
        <v/>
      </c>
      <c r="F17" s="4">
        <f>D14*E14</f>
        <v/>
      </c>
    </row>
    <row r="18">
      <c r="C18">
        <f>IFERROR(XLOOKUP(B15, MASTER_PRICE_LIST!A:A, MASTER_PRICE_LIST!B:B), "--- Select Part ---")</f>
        <v/>
      </c>
      <c r="E18" s="4">
        <f>IFERROR(XLOOKUP(B15, MASTER_PRICE_LIST!A:A, MASTER_PRICE_LIST!C:C), 0)</f>
        <v/>
      </c>
      <c r="F18" s="4">
        <f>D15*E15</f>
        <v/>
      </c>
    </row>
    <row r="19">
      <c r="C19">
        <f>IFERROR(XLOOKUP(B16, MASTER_PRICE_LIST!A:A, MASTER_PRICE_LIST!B:B), "--- Select Part ---")</f>
        <v/>
      </c>
      <c r="E19" s="4">
        <f>IFERROR(XLOOKUP(B16, MASTER_PRICE_LIST!A:A, MASTER_PRICE_LIST!C:C), 0)</f>
        <v/>
      </c>
      <c r="F19" s="4">
        <f>D16*E16</f>
        <v/>
      </c>
    </row>
    <row r="20">
      <c r="C20">
        <f>IFERROR(XLOOKUP(B17, MASTER_PRICE_LIST!A:A, MASTER_PRICE_LIST!B:B), "--- Select Part ---")</f>
        <v/>
      </c>
      <c r="E20" s="4">
        <f>IFERROR(XLOOKUP(B17, MASTER_PRICE_LIST!A:A, MASTER_PRICE_LIST!C:C), 0)</f>
        <v/>
      </c>
      <c r="F20" s="4">
        <f>D17*E17</f>
        <v/>
      </c>
    </row>
    <row r="21">
      <c r="C21">
        <f>IFERROR(XLOOKUP(B18, MASTER_PRICE_LIST!A:A, MASTER_PRICE_LIST!B:B), "--- Select Part ---")</f>
        <v/>
      </c>
      <c r="E21" s="4">
        <f>IFERROR(XLOOKUP(B18, MASTER_PRICE_LIST!A:A, MASTER_PRICE_LIST!C:C), 0)</f>
        <v/>
      </c>
      <c r="F21" s="4">
        <f>D18*E18</f>
        <v/>
      </c>
    </row>
    <row r="22">
      <c r="C22">
        <f>IFERROR(XLOOKUP(B19, MASTER_PRICE_LIST!A:A, MASTER_PRICE_LIST!B:B), "--- Select Part ---")</f>
        <v/>
      </c>
      <c r="E22" s="4">
        <f>IFERROR(XLOOKUP(B19, MASTER_PRICE_LIST!A:A, MASTER_PRICE_LIST!C:C), 0)</f>
        <v/>
      </c>
      <c r="F22" s="4">
        <f>D19*E19</f>
        <v/>
      </c>
    </row>
    <row r="23">
      <c r="C23">
        <f>IFERROR(XLOOKUP(B20, MASTER_PRICE_LIST!A:A, MASTER_PRICE_LIST!B:B), "--- Select Part ---")</f>
        <v/>
      </c>
      <c r="E23" s="4">
        <f>IFERROR(XLOOKUP(B20, MASTER_PRICE_LIST!A:A, MASTER_PRICE_LIST!C:C), 0)</f>
        <v/>
      </c>
      <c r="F23" s="4">
        <f>D20*E20</f>
        <v/>
      </c>
    </row>
    <row r="24">
      <c r="C24">
        <f>IFERROR(XLOOKUP(B21, MASTER_PRICE_LIST!A:A, MASTER_PRICE_LIST!B:B), "--- Select Part ---")</f>
        <v/>
      </c>
      <c r="E24" s="4">
        <f>IFERROR(XLOOKUP(B21, MASTER_PRICE_LIST!A:A, MASTER_PRICE_LIST!C:C), 0)</f>
        <v/>
      </c>
      <c r="F24" s="4">
        <f>D21*E21</f>
        <v/>
      </c>
    </row>
    <row r="25">
      <c r="C25">
        <f>IFERROR(XLOOKUP(B22, MASTER_PRICE_LIST!A:A, MASTER_PRICE_LIST!B:B), "--- Select Part ---")</f>
        <v/>
      </c>
      <c r="E25" s="4">
        <f>IFERROR(XLOOKUP(B22, MASTER_PRICE_LIST!A:A, MASTER_PRICE_LIST!C:C), 0)</f>
        <v/>
      </c>
      <c r="F25" s="4">
        <f>D22*E22</f>
        <v/>
      </c>
    </row>
    <row r="26">
      <c r="C26">
        <f>IFERROR(XLOOKUP(B23, MASTER_PRICE_LIST!A:A, MASTER_PRICE_LIST!B:B), "--- Select Part ---")</f>
        <v/>
      </c>
      <c r="E26" s="4">
        <f>IFERROR(XLOOKUP(B23, MASTER_PRICE_LIST!A:A, MASTER_PRICE_LIST!C:C), 0)</f>
        <v/>
      </c>
      <c r="F26" s="4">
        <f>D23*E23</f>
        <v/>
      </c>
    </row>
    <row r="27">
      <c r="C27">
        <f>IFERROR(XLOOKUP(B24, MASTER_PRICE_LIST!A:A, MASTER_PRICE_LIST!B:B), "--- Select Part ---")</f>
        <v/>
      </c>
      <c r="E27" s="4">
        <f>IFERROR(XLOOKUP(B24, MASTER_PRICE_LIST!A:A, MASTER_PRICE_LIST!C:C), 0)</f>
        <v/>
      </c>
      <c r="F27" s="4">
        <f>D24*E24</f>
        <v/>
      </c>
    </row>
    <row r="28">
      <c r="C28">
        <f>IFERROR(XLOOKUP(B25, MASTER_PRICE_LIST!A:A, MASTER_PRICE_LIST!B:B), "--- Select Part ---")</f>
        <v/>
      </c>
      <c r="E28" s="4">
        <f>IFERROR(XLOOKUP(B25, MASTER_PRICE_LIST!A:A, MASTER_PRICE_LIST!C:C), 0)</f>
        <v/>
      </c>
      <c r="F28" s="4">
        <f>D25*E25</f>
        <v/>
      </c>
    </row>
    <row r="29">
      <c r="C29">
        <f>IFERROR(XLOOKUP(B26, MASTER_PRICE_LIST!A:A, MASTER_PRICE_LIST!B:B), "--- Select Part ---")</f>
        <v/>
      </c>
      <c r="E29" s="4">
        <f>IFERROR(XLOOKUP(B26, MASTER_PRICE_LIST!A:A, MASTER_PRICE_LIST!C:C), 0)</f>
        <v/>
      </c>
      <c r="F29" s="4">
        <f>D26*E26</f>
        <v/>
      </c>
    </row>
    <row r="30">
      <c r="C30">
        <f>IFERROR(XLOOKUP(B27, MASTER_PRICE_LIST!A:A, MASTER_PRICE_LIST!B:B), "--- Select Part ---")</f>
        <v/>
      </c>
      <c r="E30" s="4">
        <f>IFERROR(XLOOKUP(B27, MASTER_PRICE_LIST!A:A, MASTER_PRICE_LIST!C:C), 0)</f>
        <v/>
      </c>
      <c r="F30" s="4">
        <f>D27*E27</f>
        <v/>
      </c>
    </row>
    <row r="31">
      <c r="C31">
        <f>IFERROR(XLOOKUP(B28, MASTER_PRICE_LIST!A:A, MASTER_PRICE_LIST!B:B), "--- Select Part ---")</f>
        <v/>
      </c>
      <c r="E31" s="4">
        <f>IFERROR(XLOOKUP(B28, MASTER_PRICE_LIST!A:A, MASTER_PRICE_LIST!C:C), 0)</f>
        <v/>
      </c>
      <c r="F31" s="4">
        <f>D28*E28</f>
        <v/>
      </c>
    </row>
    <row r="32">
      <c r="C32">
        <f>IFERROR(XLOOKUP(B29, MASTER_PRICE_LIST!A:A, MASTER_PRICE_LIST!B:B), "--- Select Part ---")</f>
        <v/>
      </c>
      <c r="E32" s="4">
        <f>IFERROR(XLOOKUP(B29, MASTER_PRICE_LIST!A:A, MASTER_PRICE_LIST!C:C), 0)</f>
        <v/>
      </c>
      <c r="F32" s="4">
        <f>D29*E29</f>
        <v/>
      </c>
    </row>
    <row r="33">
      <c r="C33">
        <f>IFERROR(XLOOKUP(B30, MASTER_PRICE_LIST!A:A, MASTER_PRICE_LIST!B:B), "--- Select Part ---")</f>
        <v/>
      </c>
      <c r="E33" s="4">
        <f>IFERROR(XLOOKUP(B30, MASTER_PRICE_LIST!A:A, MASTER_PRICE_LIST!C:C), 0)</f>
        <v/>
      </c>
      <c r="F33" s="4">
        <f>D30*E30</f>
        <v/>
      </c>
    </row>
    <row r="34">
      <c r="C34">
        <f>IFERROR(XLOOKUP(B31, MASTER_PRICE_LIST!A:A, MASTER_PRICE_LIST!B:B), "--- Select Part ---")</f>
        <v/>
      </c>
      <c r="E34" s="4">
        <f>IFERROR(XLOOKUP(B31, MASTER_PRICE_LIST!A:A, MASTER_PRICE_LIST!C:C), 0)</f>
        <v/>
      </c>
      <c r="F34" s="4">
        <f>D31*E31</f>
        <v/>
      </c>
    </row>
    <row r="35">
      <c r="C35">
        <f>IFERROR(XLOOKUP(B32, MASTER_PRICE_LIST!A:A, MASTER_PRICE_LIST!B:B), "--- Select Part ---")</f>
        <v/>
      </c>
      <c r="E35" s="4">
        <f>IFERROR(XLOOKUP(B32, MASTER_PRICE_LIST!A:A, MASTER_PRICE_LIST!C:C), 0)</f>
        <v/>
      </c>
      <c r="F35" s="4">
        <f>D32*E32</f>
        <v/>
      </c>
    </row>
    <row r="36">
      <c r="C36">
        <f>IFERROR(XLOOKUP(B33, MASTER_PRICE_LIST!A:A, MASTER_PRICE_LIST!B:B), "--- Select Part ---")</f>
        <v/>
      </c>
      <c r="E36" s="4">
        <f>IFERROR(XLOOKUP(B33, MASTER_PRICE_LIST!A:A, MASTER_PRICE_LIST!C:C), 0)</f>
        <v/>
      </c>
      <c r="F36" s="4">
        <f>D33*E33</f>
        <v/>
      </c>
    </row>
    <row r="37">
      <c r="C37">
        <f>IFERROR(XLOOKUP(B34, MASTER_PRICE_LIST!A:A, MASTER_PRICE_LIST!B:B), "--- Select Part ---")</f>
        <v/>
      </c>
      <c r="E37" s="4">
        <f>IFERROR(XLOOKUP(B34, MASTER_PRICE_LIST!A:A, MASTER_PRICE_LIST!C:C), 0)</f>
        <v/>
      </c>
      <c r="F37" s="4">
        <f>D34*E34</f>
        <v/>
      </c>
    </row>
    <row r="38">
      <c r="C38">
        <f>IFERROR(XLOOKUP(B35, MASTER_PRICE_LIST!A:A, MASTER_PRICE_LIST!B:B), "--- Select Part ---")</f>
        <v/>
      </c>
      <c r="E38" s="4">
        <f>IFERROR(XLOOKUP(B35, MASTER_PRICE_LIST!A:A, MASTER_PRICE_LIST!C:C), 0)</f>
        <v/>
      </c>
      <c r="F38" s="4">
        <f>D35*E35</f>
        <v/>
      </c>
    </row>
    <row r="39">
      <c r="C39">
        <f>IFERROR(XLOOKUP(B36, MASTER_PRICE_LIST!A:A, MASTER_PRICE_LIST!B:B), "--- Select Part ---")</f>
        <v/>
      </c>
      <c r="E39" s="4">
        <f>IFERROR(XLOOKUP(B36, MASTER_PRICE_LIST!A:A, MASTER_PRICE_LIST!C:C), 0)</f>
        <v/>
      </c>
      <c r="F39" s="4">
        <f>D36*E36</f>
        <v/>
      </c>
    </row>
    <row r="40">
      <c r="C40">
        <f>IFERROR(XLOOKUP(B37, MASTER_PRICE_LIST!A:A, MASTER_PRICE_LIST!B:B), "--- Select Part ---")</f>
        <v/>
      </c>
      <c r="E40" s="4">
        <f>IFERROR(XLOOKUP(B37, MASTER_PRICE_LIST!A:A, MASTER_PRICE_LIST!C:C), 0)</f>
        <v/>
      </c>
      <c r="F40" s="4">
        <f>D37*E37</f>
        <v/>
      </c>
    </row>
    <row r="41">
      <c r="C41">
        <f>IFERROR(XLOOKUP(B38, MASTER_PRICE_LIST!A:A, MASTER_PRICE_LIST!B:B), "--- Select Part ---")</f>
        <v/>
      </c>
      <c r="E41" s="4">
        <f>IFERROR(XLOOKUP(B38, MASTER_PRICE_LIST!A:A, MASTER_PRICE_LIST!C:C), 0)</f>
        <v/>
      </c>
      <c r="F41" s="4">
        <f>D38*E38</f>
        <v/>
      </c>
    </row>
    <row r="42">
      <c r="C42">
        <f>IFERROR(XLOOKUP(B39, MASTER_PRICE_LIST!A:A, MASTER_PRICE_LIST!B:B), "--- Select Part ---")</f>
        <v/>
      </c>
      <c r="E42" s="4">
        <f>IFERROR(XLOOKUP(B39, MASTER_PRICE_LIST!A:A, MASTER_PRICE_LIST!C:C), 0)</f>
        <v/>
      </c>
      <c r="F42" s="4">
        <f>D39*E39</f>
        <v/>
      </c>
    </row>
    <row r="43">
      <c r="C43">
        <f>IFERROR(XLOOKUP(B40, MASTER_PRICE_LIST!A:A, MASTER_PRICE_LIST!B:B), "--- Select Part ---")</f>
        <v/>
      </c>
      <c r="E43" s="4">
        <f>IFERROR(XLOOKUP(B40, MASTER_PRICE_LIST!A:A, MASTER_PRICE_LIST!C:C), 0)</f>
        <v/>
      </c>
      <c r="F43" s="4">
        <f>D40*E40</f>
        <v/>
      </c>
    </row>
    <row r="44">
      <c r="C44">
        <f>IFERROR(XLOOKUP(B41, MASTER_PRICE_LIST!A:A, MASTER_PRICE_LIST!B:B), "--- Select Part ---")</f>
        <v/>
      </c>
      <c r="E44" s="4">
        <f>IFERROR(XLOOKUP(B41, MASTER_PRICE_LIST!A:A, MASTER_PRICE_LIST!C:C), 0)</f>
        <v/>
      </c>
      <c r="F44" s="4">
        <f>D41*E41</f>
        <v/>
      </c>
    </row>
    <row r="45">
      <c r="C45">
        <f>IFERROR(XLOOKUP(B42, MASTER_PRICE_LIST!A:A, MASTER_PRICE_LIST!B:B), "--- Select Part ---")</f>
        <v/>
      </c>
      <c r="E45" s="4">
        <f>IFERROR(XLOOKUP(B42, MASTER_PRICE_LIST!A:A, MASTER_PRICE_LIST!C:C), 0)</f>
        <v/>
      </c>
      <c r="F45" s="4">
        <f>D42*E42</f>
        <v/>
      </c>
    </row>
    <row r="46">
      <c r="C46">
        <f>IFERROR(XLOOKUP(B43, MASTER_PRICE_LIST!A:A, MASTER_PRICE_LIST!B:B), "--- Select Part ---")</f>
        <v/>
      </c>
      <c r="E46" s="4">
        <f>IFERROR(XLOOKUP(B43, MASTER_PRICE_LIST!A:A, MASTER_PRICE_LIST!C:C), 0)</f>
        <v/>
      </c>
      <c r="F46" s="4">
        <f>D43*E43</f>
        <v/>
      </c>
    </row>
    <row r="47">
      <c r="C47">
        <f>IFERROR(XLOOKUP(B44, MASTER_PRICE_LIST!A:A, MASTER_PRICE_LIST!B:B), "--- Select Part ---")</f>
        <v/>
      </c>
      <c r="E47" s="4">
        <f>IFERROR(XLOOKUP(B44, MASTER_PRICE_LIST!A:A, MASTER_PRICE_LIST!C:C), 0)</f>
        <v/>
      </c>
      <c r="F47" s="4">
        <f>D44*E44</f>
        <v/>
      </c>
    </row>
    <row r="48">
      <c r="C48">
        <f>IFERROR(XLOOKUP(B45, MASTER_PRICE_LIST!A:A, MASTER_PRICE_LIST!B:B), "--- Select Part ---")</f>
        <v/>
      </c>
      <c r="E48" s="4">
        <f>IFERROR(XLOOKUP(B45, MASTER_PRICE_LIST!A:A, MASTER_PRICE_LIST!C:C), 0)</f>
        <v/>
      </c>
      <c r="F48" s="4">
        <f>D45*E45</f>
        <v/>
      </c>
    </row>
    <row r="49">
      <c r="C49">
        <f>IFERROR(XLOOKUP(B46, MASTER_PRICE_LIST!A:A, MASTER_PRICE_LIST!B:B), "--- Select Part ---")</f>
        <v/>
      </c>
      <c r="E49" s="4">
        <f>IFERROR(XLOOKUP(B46, MASTER_PRICE_LIST!A:A, MASTER_PRICE_LIST!C:C), 0)</f>
        <v/>
      </c>
      <c r="F49" s="4">
        <f>D46*E46</f>
        <v/>
      </c>
    </row>
    <row r="50">
      <c r="C50">
        <f>IFERROR(XLOOKUP(B47, MASTER_PRICE_LIST!A:A, MASTER_PRICE_LIST!B:B), "--- Select Part ---")</f>
        <v/>
      </c>
      <c r="E50" s="4">
        <f>IFERROR(XLOOKUP(B47, MASTER_PRICE_LIST!A:A, MASTER_PRICE_LIST!C:C), 0)</f>
        <v/>
      </c>
      <c r="F50" s="4">
        <f>D47*E47</f>
        <v/>
      </c>
    </row>
    <row r="51">
      <c r="C51">
        <f>IFERROR(XLOOKUP(B48, MASTER_PRICE_LIST!A:A, MASTER_PRICE_LIST!B:B), "--- Select Part ---")</f>
        <v/>
      </c>
      <c r="E51" s="4">
        <f>IFERROR(XLOOKUP(B48, MASTER_PRICE_LIST!A:A, MASTER_PRICE_LIST!C:C), 0)</f>
        <v/>
      </c>
      <c r="F51" s="4">
        <f>D48*E48</f>
        <v/>
      </c>
    </row>
    <row r="52">
      <c r="C52">
        <f>IFERROR(XLOOKUP(B49, MASTER_PRICE_LIST!A:A, MASTER_PRICE_LIST!B:B), "--- Select Part ---")</f>
        <v/>
      </c>
      <c r="E52" s="4">
        <f>IFERROR(XLOOKUP(B49, MASTER_PRICE_LIST!A:A, MASTER_PRICE_LIST!C:C), 0)</f>
        <v/>
      </c>
      <c r="F52" s="4">
        <f>D49*E49</f>
        <v/>
      </c>
    </row>
    <row r="53">
      <c r="C53">
        <f>IFERROR(XLOOKUP(B50, MASTER_PRICE_LIST!A:A, MASTER_PRICE_LIST!B:B), "--- Select Part ---")</f>
        <v/>
      </c>
      <c r="E53" s="4">
        <f>IFERROR(XLOOKUP(B50, MASTER_PRICE_LIST!A:A, MASTER_PRICE_LIST!C:C), 0)</f>
        <v/>
      </c>
      <c r="F53" s="4">
        <f>D50*E50</f>
        <v/>
      </c>
    </row>
  </sheetData>
  <dataValidations count="1">
    <dataValidation sqref="B2:B50" showDropDown="0" showInputMessage="0" showErrorMessage="0" allowBlank="1" type="list">
      <formula1>MASTER_PRICE_LIST!$A$2:$A$50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2026-05-06T22:17:01Z</dcterms:created>
  <dcterms:modified xsi:type="dcterms:W3CDTF">2026-05-06T22:17:01Z</dcterms:modified>
</cp:coreProperties>
</file>