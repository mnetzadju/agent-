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580" activeTab="1"/>
  </bookViews>
  <sheets>
    <sheet name="DASHBOARD" sheetId="1" r:id="rId1"/>
    <sheet name="PARTS_MASTER" sheetId="2" r:id="rId2"/>
    <sheet name="BOM_PROJECT" sheetId="3" r:id="rId3"/>
    <sheet name="SITE_PROGRESS" sheetId="4" r:id="rId4"/>
  </sheets>
  <calcPr calcId="152511"/>
</workbook>
</file>

<file path=xl/calcChain.xml><?xml version="1.0" encoding="utf-8"?>
<calcChain xmlns="http://schemas.openxmlformats.org/spreadsheetml/2006/main">
  <c r="C4" i="4" l="1"/>
  <c r="C3" i="4"/>
  <c r="C2" i="4"/>
  <c r="C4" i="1"/>
</calcChain>
</file>

<file path=xl/sharedStrings.xml><?xml version="1.0" encoding="utf-8"?>
<sst xmlns="http://schemas.openxmlformats.org/spreadsheetml/2006/main" count="66" uniqueCount="50">
  <si>
    <t>?? PROJECT &amp; SITE PROGRESS COMMAND CENTER</t>
  </si>
  <si>
    <t>OVERALL SITE PROGRESS:</t>
  </si>
  <si>
    <t>Part_ID</t>
  </si>
  <si>
    <t>Part_Number</t>
  </si>
  <si>
    <t>Description</t>
  </si>
  <si>
    <t>Manufacturer</t>
  </si>
  <si>
    <t>Unit_Cost</t>
  </si>
  <si>
    <t>Initial_Stock</t>
  </si>
  <si>
    <t>HW-001</t>
  </si>
  <si>
    <t>PN-7788</t>
  </si>
  <si>
    <t>Core Router</t>
  </si>
  <si>
    <t>Cisco</t>
  </si>
  <si>
    <t>SW-002</t>
  </si>
  <si>
    <t>LIC-9900</t>
  </si>
  <si>
    <t>Firewall License</t>
  </si>
  <si>
    <t>Fortinet</t>
  </si>
  <si>
    <t>HW-003</t>
  </si>
  <si>
    <t>PN-5544</t>
  </si>
  <si>
    <t>Access Point</t>
  </si>
  <si>
    <t>Aruba</t>
  </si>
  <si>
    <t>SW-004</t>
  </si>
  <si>
    <t>LIC-1122</t>
  </si>
  <si>
    <t>Monitoring Tool</t>
  </si>
  <si>
    <t>SolarWinds</t>
  </si>
  <si>
    <t>HW-005</t>
  </si>
  <si>
    <t>PN-2233</t>
  </si>
  <si>
    <t>Switch 24-Port</t>
  </si>
  <si>
    <t>Ubiquiti</t>
  </si>
  <si>
    <t>Project_Site</t>
  </si>
  <si>
    <t>Serial_Number</t>
  </si>
  <si>
    <t>Qty_Needed</t>
  </si>
  <si>
    <t>Manila_DC</t>
  </si>
  <si>
    <t>SN-RT001</t>
  </si>
  <si>
    <t>N/A</t>
  </si>
  <si>
    <t>Cebu_Branch</t>
  </si>
  <si>
    <t>SN-AP005</t>
  </si>
  <si>
    <t>Davao_Office</t>
  </si>
  <si>
    <t>SN-SW003</t>
  </si>
  <si>
    <t>Site_Name</t>
  </si>
  <si>
    <t>Equipment_ID</t>
  </si>
  <si>
    <t>Status</t>
  </si>
  <si>
    <t>Completion_%</t>
  </si>
  <si>
    <t>Delivery_Date</t>
  </si>
  <si>
    <t>Installation_Date</t>
  </si>
  <si>
    <t>Commissioned</t>
  </si>
  <si>
    <t>2026-05-01</t>
  </si>
  <si>
    <t>2026-05-10</t>
  </si>
  <si>
    <t>Installation</t>
  </si>
  <si>
    <t>2026-05-05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</si>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</sst>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2" borderId="0" xfId="0" applyFont="1" applyFill="1"/>
    <xf numFmtId="9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Site Completion %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SITE_PROGRESS!$E$1</c:f>
              <c:strCache>
                <c:ptCount val="1"/>
                <c:pt idx="0">
                  <c:v>Completion_%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SITE_PROGRESS!$A$2:$A$4</c:f>
              <c:strCache>
                <c:ptCount val="3"/>
                <c:pt idx="0">
                  <c:v>Manila_DC</c:v>
                </c:pt>
                <c:pt idx="1">
                  <c:v>Cebu_Branch</c:v>
                </c:pt>
                <c:pt idx="2">
                  <c:v>Davao_Office</c:v>
                </c:pt>
              </c:strCache>
            </c:strRef>
          </c:cat>
          <c:val>
            <c:numRef>
              <c:f>SITE_PROGRESS!$E$2:$E$4</c:f>
              <c:numCache>
                <c:formatCode>0%</c:formatCode>
                <c:ptCount val="3"/>
                <c:pt idx="0">
                  <c:v>1</c:v>
                </c:pt>
                <c:pt idx="1">
                  <c:v>0.6</c:v>
                </c:pt>
                <c:pt idx="2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7</xdr:row>
      <xdr:rowOff>38100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showGridLines="0" workbookViewId="0">
      <selection activeCell="M9" sqref="M9"/>
    </sheetView>
  </sheetViews>
  <sheetFormatPr defaultRowHeight="15" x14ac:dyDescent="0.25"/>
  <sheetData>
    <row r="2" spans="2:3" ht="23.25" x14ac:dyDescent="0.35">
      <c r="B2" s="1" t="s">
        <v>0</v>
      </c>
    </row>
    <row r="4" spans="2:3" ht="18.75" x14ac:dyDescent="0.3">
      <c r="B4" t="s">
        <v>1</v>
      </c>
      <c r="C4" s="2">
        <f>AVERAGE(SITE_PROGRESS!E2:E100)</f>
        <v>0.56666666666666676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75" zoomScaleNormal="175" workbookViewId="0">
      <selection activeCell="E9" sqref="E9"/>
    </sheetView>
  </sheetViews>
  <sheetFormatPr defaultRowHeight="15" x14ac:dyDescent="0.25"/>
  <cols>
    <col min="1" max="6" width="22" customWidth="1"/>
  </cols>
  <sheetData>
    <row r="1" spans="1:6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25">
      <c r="A2" t="s">
        <v>8</v>
      </c>
      <c r="B2" t="s">
        <v>9</v>
      </c>
      <c r="C2" t="s">
        <v>10</v>
      </c>
      <c r="D2" t="s">
        <v>11</v>
      </c>
      <c r="E2">
        <v>1200</v>
      </c>
      <c r="F2">
        <v>10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>
        <v>500</v>
      </c>
      <c r="F3">
        <v>50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350</v>
      </c>
      <c r="F4">
        <v>20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>
        <v>800</v>
      </c>
      <c r="F5">
        <v>100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>
        <v>450</v>
      </c>
      <c r="F6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90" zoomScaleNormal="190" workbookViewId="0"/>
  </sheetViews>
  <sheetFormatPr defaultRowHeight="15" x14ac:dyDescent="0.25"/>
  <cols>
    <col min="1" max="4" width="22" customWidth="1"/>
  </cols>
  <sheetData>
    <row r="1" spans="1:4" x14ac:dyDescent="0.25">
      <c r="A1" s="3" t="s">
        <v>28</v>
      </c>
      <c r="B1" s="3" t="s">
        <v>2</v>
      </c>
      <c r="C1" s="3" t="s">
        <v>29</v>
      </c>
      <c r="D1" s="3" t="s">
        <v>30</v>
      </c>
    </row>
    <row r="2" spans="1:4" x14ac:dyDescent="0.25">
      <c r="A2" t="s">
        <v>31</v>
      </c>
      <c r="B2" t="s">
        <v>8</v>
      </c>
      <c r="C2" t="s">
        <v>32</v>
      </c>
      <c r="D2">
        <v>1</v>
      </c>
    </row>
    <row r="3" spans="1:4" x14ac:dyDescent="0.25">
      <c r="A3" t="s">
        <v>31</v>
      </c>
      <c r="B3" t="s">
        <v>12</v>
      </c>
      <c r="C3" t="s">
        <v>33</v>
      </c>
      <c r="D3">
        <v>1</v>
      </c>
    </row>
    <row r="4" spans="1:4" x14ac:dyDescent="0.25">
      <c r="A4" t="s">
        <v>34</v>
      </c>
      <c r="B4" t="s">
        <v>16</v>
      </c>
      <c r="C4" t="s">
        <v>35</v>
      </c>
      <c r="D4">
        <v>5</v>
      </c>
    </row>
    <row r="5" spans="1:4" x14ac:dyDescent="0.25">
      <c r="A5" t="s">
        <v>36</v>
      </c>
      <c r="B5" t="s">
        <v>20</v>
      </c>
      <c r="C5" t="s">
        <v>33</v>
      </c>
      <c r="D5">
        <v>1</v>
      </c>
    </row>
    <row r="6" spans="1:4" x14ac:dyDescent="0.25">
      <c r="A6" t="s">
        <v>31</v>
      </c>
      <c r="B6" t="s">
        <v>24</v>
      </c>
      <c r="C6" t="s">
        <v>37</v>
      </c>
      <c r="D6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205" zoomScaleNormal="205" workbookViewId="0">
      <selection activeCell="B1" sqref="B1"/>
    </sheetView>
  </sheetViews>
  <sheetFormatPr defaultRowHeight="15" x14ac:dyDescent="0.25"/>
  <cols>
    <col min="1" max="7" width="22" customWidth="1"/>
  </cols>
  <sheetData>
    <row r="1" spans="1:7" x14ac:dyDescent="0.25">
      <c r="A1" s="3" t="s">
        <v>38</v>
      </c>
      <c r="B1" s="3" t="s">
        <v>39</v>
      </c>
      <c r="C1" s="3" t="s">
        <v>4</v>
      </c>
      <c r="D1" s="3" t="s">
        <v>40</v>
      </c>
      <c r="E1" s="3" t="s">
        <v>41</v>
      </c>
      <c r="F1" s="3" t="s">
        <v>42</v>
      </c>
      <c r="G1" s="3" t="s">
        <v>43</v>
      </c>
    </row>
    <row r="2" spans="1:7" x14ac:dyDescent="0.25">
      <c r="A2" t="s">
        <v>31</v>
      </c>
      <c r="B2" t="s">
        <v>8</v>
      </c>
      <c r="C2" t="str">
        <f>VLOOKUP(B2, PARTS_MASTER!$A$2:$C$100, 3, FALSE)</f>
        <v>Core Router</v>
      </c>
      <c r="D2" t="s">
        <v>44</v>
      </c>
      <c r="E2" s="4">
        <v>1</v>
      </c>
      <c r="F2" t="s">
        <v>45</v>
      </c>
      <c r="G2" t="s">
        <v>46</v>
      </c>
    </row>
    <row r="3" spans="1:7" x14ac:dyDescent="0.25">
      <c r="A3" t="s">
        <v>34</v>
      </c>
      <c r="B3" t="s">
        <v>16</v>
      </c>
      <c r="C3" t="str">
        <f>VLOOKUP(B3, PARTS_MASTER!$A$2:$C$100, 3, FALSE)</f>
        <v>Access Point</v>
      </c>
      <c r="D3" t="s">
        <v>47</v>
      </c>
      <c r="E3" s="4">
        <v>0.6</v>
      </c>
      <c r="F3" t="s">
        <v>48</v>
      </c>
    </row>
    <row r="4" spans="1:7" x14ac:dyDescent="0.25">
      <c r="A4" t="s">
        <v>36</v>
      </c>
      <c r="B4" t="s">
        <v>20</v>
      </c>
      <c r="C4" t="str">
        <f>VLOOKUP(B4, PARTS_MASTER!$A$2:$C$100, 3, FALSE)</f>
        <v>Monitoring Tool</v>
      </c>
      <c r="D4" t="s">
        <v>49</v>
      </c>
      <c r="E4" s="4">
        <v>0.1</v>
      </c>
    </row>
  </sheetData>
  <conditionalFormatting sqref="D2:D100">
    <cfRule type="cellIs" dxfId="1" priority="1" operator="equal">
      <formula>"Commissioned"</formula>
    </cfRule>
    <cfRule type="cellIs" dxfId="0" priority="2" operator="equal">
      <formula>"Pending"</formula>
    </cfRule>
  </conditionalFormatting>
  <dataValidations count="1">
    <dataValidation type="list" allowBlank="1" sqref="D2:D100">
      <formula1>"Pending,Delivered,Installation,Commissioned"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PARTS_MASTER</vt:lpstr>
      <vt:lpstr>BOM_PROJECT</vt:lpstr>
      <vt:lpstr>SITE_PROGRESS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2026-05-06T14:18:38Z</dcterms:created>
  <dcterms:modified xsi:type="dcterms:W3CDTF">2026-05-06T20:13:00Z</dcterms:modified>
</cp:coreProperties>
</file>