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LIST" sheetId="1" state="visible" r:id="rId1"/>
    <sheet name="BOQ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0000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Description</t>
        </is>
      </c>
      <c r="C1" t="inlineStr">
        <is>
          <t>Manufacturer</t>
        </is>
      </c>
      <c r="D1" t="inlineStr">
        <is>
          <t>Unit_Cost</t>
        </is>
      </c>
    </row>
    <row r="2">
      <c r="A2" t="inlineStr">
        <is>
          <t>C9200L-24T</t>
        </is>
      </c>
      <c r="B2" t="inlineStr">
        <is>
          <t>Cisco Catalyst 9200L 24-port</t>
        </is>
      </c>
      <c r="C2" t="inlineStr">
        <is>
          <t>Cisco</t>
        </is>
      </c>
      <c r="D2" t="n">
        <v>2800</v>
      </c>
    </row>
    <row r="3">
      <c r="A3" t="inlineStr">
        <is>
          <t>FG-60F</t>
        </is>
      </c>
      <c r="B3" t="inlineStr">
        <is>
          <t>FortiGate 60F Firewall</t>
        </is>
      </c>
      <c r="C3" t="inlineStr">
        <is>
          <t>Fortinet</t>
        </is>
      </c>
      <c r="D3" t="n">
        <v>1400</v>
      </c>
    </row>
    <row r="4">
      <c r="A4" t="inlineStr">
        <is>
          <t>AP-505</t>
        </is>
      </c>
      <c r="B4" t="inlineStr">
        <is>
          <t>Aruba AP-505 Wi-Fi 6</t>
        </is>
      </c>
      <c r="C4" t="inlineStr">
        <is>
          <t>Aruba</t>
        </is>
      </c>
      <c r="D4" t="n">
        <v>450</v>
      </c>
    </row>
    <row r="5">
      <c r="A5" t="inlineStr">
        <is>
          <t>C6-UTP-305</t>
        </is>
      </c>
      <c r="B5" t="inlineStr">
        <is>
          <t>Cat6 UTP Cable Box (305m)</t>
        </is>
      </c>
      <c r="C5" t="inlineStr">
        <is>
          <t>Panduit</t>
        </is>
      </c>
      <c r="D5" t="n">
        <v>195</v>
      </c>
    </row>
    <row r="6">
      <c r="A6" t="inlineStr">
        <is>
          <t>PP-24P</t>
        </is>
      </c>
      <c r="B6" t="inlineStr">
        <is>
          <t>24-Port Patch Panel</t>
        </is>
      </c>
      <c r="C6" t="inlineStr">
        <is>
          <t>Schneider</t>
        </is>
      </c>
      <c r="D6" t="n">
        <v>125</v>
      </c>
    </row>
    <row r="7">
      <c r="A7" t="inlineStr">
        <is>
          <t>RACK-42U</t>
        </is>
      </c>
      <c r="B7" t="inlineStr">
        <is>
          <t>42U Data Cabinet</t>
        </is>
      </c>
      <c r="C7" t="inlineStr">
        <is>
          <t>APC</t>
        </is>
      </c>
      <c r="D7" t="n">
        <v>1200</v>
      </c>
    </row>
    <row r="8">
      <c r="A8" t="inlineStr">
        <is>
          <t>INSTALL-SVC</t>
        </is>
      </c>
      <c r="B8" t="inlineStr">
        <is>
          <t>Labor: Cable Installation</t>
        </is>
      </c>
      <c r="C8" t="inlineStr">
        <is>
          <t>Local</t>
        </is>
      </c>
      <c r="D8" t="n">
        <v>50</v>
      </c>
    </row>
    <row r="9">
      <c r="A9" t="inlineStr">
        <is>
          <t>CONFIG-SVC</t>
        </is>
      </c>
      <c r="B9" t="inlineStr">
        <is>
          <t>Services: Network Configuration</t>
        </is>
      </c>
      <c r="C9" t="inlineStr">
        <is>
          <t>Expert</t>
        </is>
      </c>
      <c r="D9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NETWORK INFRASTRUCTURE BILL OF QUANTITIES</t>
        </is>
      </c>
    </row>
    <row r="2">
      <c r="G2" t="inlineStr">
        <is>
          <t>GRAND TOTAL:</t>
        </is>
      </c>
      <c r="H2" s="2">
        <f>SUM(H6:H100)</f>
        <v/>
      </c>
    </row>
    <row r="3"/>
    <row r="4"/>
    <row r="5">
      <c r="A5" s="3" t="inlineStr">
        <is>
          <t>Category</t>
        </is>
      </c>
      <c r="B5" s="3" t="inlineStr">
        <is>
          <t>Part_Number</t>
        </is>
      </c>
      <c r="C5" s="3" t="inlineStr">
        <is>
          <t>Description</t>
        </is>
      </c>
      <c r="D5" s="3" t="inlineStr">
        <is>
          <t>Manufacturer</t>
        </is>
      </c>
      <c r="E5" s="3" t="inlineStr">
        <is>
          <t>Qty</t>
        </is>
      </c>
      <c r="F5" s="3" t="n"/>
      <c r="G5" s="3" t="inlineStr">
        <is>
          <t>Unit_Cost</t>
        </is>
      </c>
      <c r="H5" s="3" t="inlineStr">
        <is>
          <t>Line_Total</t>
        </is>
      </c>
    </row>
    <row r="6">
      <c r="A6" t="inlineStr">
        <is>
          <t>Active</t>
        </is>
      </c>
      <c r="B6" t="inlineStr">
        <is>
          <t>C9200L-24T</t>
        </is>
      </c>
      <c r="C6">
        <f>IFERROR(XLOOKUP(B2, PRICE_LIST!A:A, PRICE_LIST!B:B), "")</f>
        <v/>
      </c>
      <c r="D6">
        <f>IFERROR(XLOOKUP(B2, PRICE_LIST!A:A, PRICE_LIST!C:C), "")</f>
        <v/>
      </c>
      <c r="E6" t="n">
        <v>2</v>
      </c>
      <c r="G6" s="4">
        <f>IFERROR(XLOOKUP(B2, PRICE_LIST!A:A, PRICE_LIST!D:D), 0)</f>
        <v/>
      </c>
      <c r="H6" s="4">
        <f>E2*G2</f>
        <v/>
      </c>
    </row>
    <row r="7">
      <c r="A7" t="inlineStr">
        <is>
          <t>Active</t>
        </is>
      </c>
      <c r="B7" t="inlineStr">
        <is>
          <t>FG-60F</t>
        </is>
      </c>
      <c r="C7">
        <f>IFERROR(XLOOKUP(B3, PRICE_LIST!A:A, PRICE_LIST!B:B), "")</f>
        <v/>
      </c>
      <c r="D7">
        <f>IFERROR(XLOOKUP(B3, PRICE_LIST!A:A, PRICE_LIST!C:C), "")</f>
        <v/>
      </c>
      <c r="E7" t="n">
        <v>1</v>
      </c>
      <c r="G7" s="4">
        <f>IFERROR(XLOOKUP(B3, PRICE_LIST!A:A, PRICE_LIST!D:D), 0)</f>
        <v/>
      </c>
      <c r="H7" s="4">
        <f>E3*G3</f>
        <v/>
      </c>
    </row>
    <row r="8">
      <c r="A8" t="inlineStr">
        <is>
          <t>Passive</t>
        </is>
      </c>
      <c r="B8" t="inlineStr">
        <is>
          <t>C6-UTP-305</t>
        </is>
      </c>
      <c r="C8">
        <f>IFERROR(XLOOKUP(B4, PRICE_LIST!A:A, PRICE_LIST!B:B), "")</f>
        <v/>
      </c>
      <c r="D8">
        <f>IFERROR(XLOOKUP(B4, PRICE_LIST!A:A, PRICE_LIST!C:C), "")</f>
        <v/>
      </c>
      <c r="E8" t="n">
        <v>10</v>
      </c>
      <c r="G8" s="4">
        <f>IFERROR(XLOOKUP(B4, PRICE_LIST!A:A, PRICE_LIST!D:D), 0)</f>
        <v/>
      </c>
      <c r="H8" s="4">
        <f>E4*G4</f>
        <v/>
      </c>
    </row>
    <row r="9">
      <c r="A9" t="inlineStr">
        <is>
          <t>Passive</t>
        </is>
      </c>
      <c r="B9" t="inlineStr">
        <is>
          <t>PP-24P</t>
        </is>
      </c>
      <c r="C9">
        <f>IFERROR(XLOOKUP(B5, PRICE_LIST!A:A, PRICE_LIST!B:B), "")</f>
        <v/>
      </c>
      <c r="D9">
        <f>IFERROR(XLOOKUP(B5, PRICE_LIST!A:A, PRICE_LIST!C:C), "")</f>
        <v/>
      </c>
      <c r="E9" t="n">
        <v>4</v>
      </c>
      <c r="G9" s="4">
        <f>IFERROR(XLOOKUP(B5, PRICE_LIST!A:A, PRICE_LIST!D:D), 0)</f>
        <v/>
      </c>
      <c r="H9" s="4">
        <f>E5*G5</f>
        <v/>
      </c>
    </row>
    <row r="10">
      <c r="A10" t="inlineStr">
        <is>
          <t>Services</t>
        </is>
      </c>
      <c r="B10" t="inlineStr">
        <is>
          <t>CONFIG-SVC</t>
        </is>
      </c>
      <c r="C10">
        <f>IFERROR(XLOOKUP(B6, PRICE_LIST!A:A, PRICE_LIST!B:B), "")</f>
        <v/>
      </c>
      <c r="D10">
        <f>IFERROR(XLOOKUP(B6, PRICE_LIST!A:A, PRICE_LIST!C:C), "")</f>
        <v/>
      </c>
      <c r="E10" t="n">
        <v>1</v>
      </c>
      <c r="G10" s="4">
        <f>IFERROR(XLOOKUP(B6, PRICE_LIST!A:A, PRICE_LIST!D:D), 0)</f>
        <v/>
      </c>
      <c r="H10" s="4">
        <f>E6*G6</f>
        <v/>
      </c>
    </row>
    <row r="11">
      <c r="C11">
        <f>IFERROR(XLOOKUP(B7, PRICE_LIST!A:A, PRICE_LIST!B:B), "")</f>
        <v/>
      </c>
      <c r="D11">
        <f>IFERROR(XLOOKUP(B7, PRICE_LIST!A:A, PRICE_LIST!C:C), "")</f>
        <v/>
      </c>
      <c r="G11" s="4">
        <f>IFERROR(XLOOKUP(B7, PRICE_LIST!A:A, PRICE_LIST!D:D), 0)</f>
        <v/>
      </c>
      <c r="H11" s="4">
        <f>E7*G7</f>
        <v/>
      </c>
    </row>
    <row r="12">
      <c r="C12">
        <f>IFERROR(XLOOKUP(B8, PRICE_LIST!A:A, PRICE_LIST!B:B), "")</f>
        <v/>
      </c>
      <c r="D12">
        <f>IFERROR(XLOOKUP(B8, PRICE_LIST!A:A, PRICE_LIST!C:C), "")</f>
        <v/>
      </c>
      <c r="G12" s="4">
        <f>IFERROR(XLOOKUP(B8, PRICE_LIST!A:A, PRICE_LIST!D:D), 0)</f>
        <v/>
      </c>
      <c r="H12" s="4">
        <f>E8*G8</f>
        <v/>
      </c>
    </row>
    <row r="13">
      <c r="C13">
        <f>IFERROR(XLOOKUP(B9, PRICE_LIST!A:A, PRICE_LIST!B:B), "")</f>
        <v/>
      </c>
      <c r="D13">
        <f>IFERROR(XLOOKUP(B9, PRICE_LIST!A:A, PRICE_LIST!C:C), "")</f>
        <v/>
      </c>
      <c r="G13" s="4">
        <f>IFERROR(XLOOKUP(B9, PRICE_LIST!A:A, PRICE_LIST!D:D), 0)</f>
        <v/>
      </c>
      <c r="H13" s="4">
        <f>E9*G9</f>
        <v/>
      </c>
    </row>
    <row r="14">
      <c r="C14">
        <f>IFERROR(XLOOKUP(B10, PRICE_LIST!A:A, PRICE_LIST!B:B), "")</f>
        <v/>
      </c>
      <c r="D14">
        <f>IFERROR(XLOOKUP(B10, PRICE_LIST!A:A, PRICE_LIST!C:C), "")</f>
        <v/>
      </c>
      <c r="G14" s="4">
        <f>IFERROR(XLOOKUP(B10, PRICE_LIST!A:A, PRICE_LIST!D:D), 0)</f>
        <v/>
      </c>
      <c r="H14" s="4">
        <f>E10*G10</f>
        <v/>
      </c>
    </row>
    <row r="15">
      <c r="C15">
        <f>IFERROR(XLOOKUP(B11, PRICE_LIST!A:A, PRICE_LIST!B:B), "")</f>
        <v/>
      </c>
      <c r="D15">
        <f>IFERROR(XLOOKUP(B11, PRICE_LIST!A:A, PRICE_LIST!C:C), "")</f>
        <v/>
      </c>
      <c r="G15" s="4">
        <f>IFERROR(XLOOKUP(B11, PRICE_LIST!A:A, PRICE_LIST!D:D), 0)</f>
        <v/>
      </c>
      <c r="H15" s="4">
        <f>E11*G11</f>
        <v/>
      </c>
    </row>
    <row r="16">
      <c r="C16">
        <f>IFERROR(XLOOKUP(B12, PRICE_LIST!A:A, PRICE_LIST!B:B), "")</f>
        <v/>
      </c>
      <c r="D16">
        <f>IFERROR(XLOOKUP(B12, PRICE_LIST!A:A, PRICE_LIST!C:C), "")</f>
        <v/>
      </c>
      <c r="G16" s="4">
        <f>IFERROR(XLOOKUP(B12, PRICE_LIST!A:A, PRICE_LIST!D:D), 0)</f>
        <v/>
      </c>
      <c r="H16" s="4">
        <f>E12*G12</f>
        <v/>
      </c>
    </row>
    <row r="17">
      <c r="C17">
        <f>IFERROR(XLOOKUP(B13, PRICE_LIST!A:A, PRICE_LIST!B:B), "")</f>
        <v/>
      </c>
      <c r="D17">
        <f>IFERROR(XLOOKUP(B13, PRICE_LIST!A:A, PRICE_LIST!C:C), "")</f>
        <v/>
      </c>
      <c r="G17" s="4">
        <f>IFERROR(XLOOKUP(B13, PRICE_LIST!A:A, PRICE_LIST!D:D), 0)</f>
        <v/>
      </c>
      <c r="H17" s="4">
        <f>E13*G13</f>
        <v/>
      </c>
    </row>
    <row r="18">
      <c r="C18">
        <f>IFERROR(XLOOKUP(B14, PRICE_LIST!A:A, PRICE_LIST!B:B), "")</f>
        <v/>
      </c>
      <c r="D18">
        <f>IFERROR(XLOOKUP(B14, PRICE_LIST!A:A, PRICE_LIST!C:C), "")</f>
        <v/>
      </c>
      <c r="G18" s="4">
        <f>IFERROR(XLOOKUP(B14, PRICE_LIST!A:A, PRICE_LIST!D:D), 0)</f>
        <v/>
      </c>
      <c r="H18" s="4">
        <f>E14*G14</f>
        <v/>
      </c>
    </row>
    <row r="19">
      <c r="C19">
        <f>IFERROR(XLOOKUP(B15, PRICE_LIST!A:A, PRICE_LIST!B:B), "")</f>
        <v/>
      </c>
      <c r="D19">
        <f>IFERROR(XLOOKUP(B15, PRICE_LIST!A:A, PRICE_LIST!C:C), "")</f>
        <v/>
      </c>
      <c r="G19" s="4">
        <f>IFERROR(XLOOKUP(B15, PRICE_LIST!A:A, PRICE_LIST!D:D), 0)</f>
        <v/>
      </c>
      <c r="H19" s="4">
        <f>E15*G15</f>
        <v/>
      </c>
    </row>
    <row r="20">
      <c r="C20">
        <f>IFERROR(XLOOKUP(B16, PRICE_LIST!A:A, PRICE_LIST!B:B), "")</f>
        <v/>
      </c>
      <c r="D20">
        <f>IFERROR(XLOOKUP(B16, PRICE_LIST!A:A, PRICE_LIST!C:C), "")</f>
        <v/>
      </c>
      <c r="G20" s="4">
        <f>IFERROR(XLOOKUP(B16, PRICE_LIST!A:A, PRICE_LIST!D:D), 0)</f>
        <v/>
      </c>
      <c r="H20" s="4">
        <f>E16*G16</f>
        <v/>
      </c>
    </row>
    <row r="21">
      <c r="C21">
        <f>IFERROR(XLOOKUP(B17, PRICE_LIST!A:A, PRICE_LIST!B:B), "")</f>
        <v/>
      </c>
      <c r="D21">
        <f>IFERROR(XLOOKUP(B17, PRICE_LIST!A:A, PRICE_LIST!C:C), "")</f>
        <v/>
      </c>
      <c r="G21" s="4">
        <f>IFERROR(XLOOKUP(B17, PRICE_LIST!A:A, PRICE_LIST!D:D), 0)</f>
        <v/>
      </c>
      <c r="H21" s="4">
        <f>E17*G17</f>
        <v/>
      </c>
    </row>
    <row r="22">
      <c r="C22">
        <f>IFERROR(XLOOKUP(B18, PRICE_LIST!A:A, PRICE_LIST!B:B), "")</f>
        <v/>
      </c>
      <c r="D22">
        <f>IFERROR(XLOOKUP(B18, PRICE_LIST!A:A, PRICE_LIST!C:C), "")</f>
        <v/>
      </c>
      <c r="G22" s="4">
        <f>IFERROR(XLOOKUP(B18, PRICE_LIST!A:A, PRICE_LIST!D:D), 0)</f>
        <v/>
      </c>
      <c r="H22" s="4">
        <f>E18*G18</f>
        <v/>
      </c>
    </row>
    <row r="23">
      <c r="C23">
        <f>IFERROR(XLOOKUP(B19, PRICE_LIST!A:A, PRICE_LIST!B:B), "")</f>
        <v/>
      </c>
      <c r="D23">
        <f>IFERROR(XLOOKUP(B19, PRICE_LIST!A:A, PRICE_LIST!C:C), "")</f>
        <v/>
      </c>
      <c r="G23" s="4">
        <f>IFERROR(XLOOKUP(B19, PRICE_LIST!A:A, PRICE_LIST!D:D), 0)</f>
        <v/>
      </c>
      <c r="H23" s="4">
        <f>E19*G19</f>
        <v/>
      </c>
    </row>
    <row r="24">
      <c r="C24">
        <f>IFERROR(XLOOKUP(B20, PRICE_LIST!A:A, PRICE_LIST!B:B), "")</f>
        <v/>
      </c>
      <c r="D24">
        <f>IFERROR(XLOOKUP(B20, PRICE_LIST!A:A, PRICE_LIST!C:C), "")</f>
        <v/>
      </c>
      <c r="G24" s="4">
        <f>IFERROR(XLOOKUP(B20, PRICE_LIST!A:A, PRICE_LIST!D:D), 0)</f>
        <v/>
      </c>
      <c r="H24" s="4">
        <f>E20*G20</f>
        <v/>
      </c>
    </row>
    <row r="25">
      <c r="C25">
        <f>IFERROR(XLOOKUP(B21, PRICE_LIST!A:A, PRICE_LIST!B:B), "")</f>
        <v/>
      </c>
      <c r="D25">
        <f>IFERROR(XLOOKUP(B21, PRICE_LIST!A:A, PRICE_LIST!C:C), "")</f>
        <v/>
      </c>
      <c r="G25" s="4">
        <f>IFERROR(XLOOKUP(B21, PRICE_LIST!A:A, PRICE_LIST!D:D), 0)</f>
        <v/>
      </c>
      <c r="H25" s="4">
        <f>E21*G21</f>
        <v/>
      </c>
    </row>
    <row r="26">
      <c r="C26">
        <f>IFERROR(XLOOKUP(B22, PRICE_LIST!A:A, PRICE_LIST!B:B), "")</f>
        <v/>
      </c>
      <c r="D26">
        <f>IFERROR(XLOOKUP(B22, PRICE_LIST!A:A, PRICE_LIST!C:C), "")</f>
        <v/>
      </c>
      <c r="G26" s="4">
        <f>IFERROR(XLOOKUP(B22, PRICE_LIST!A:A, PRICE_LIST!D:D), 0)</f>
        <v/>
      </c>
      <c r="H26" s="4">
        <f>E22*G22</f>
        <v/>
      </c>
    </row>
    <row r="27">
      <c r="C27">
        <f>IFERROR(XLOOKUP(B23, PRICE_LIST!A:A, PRICE_LIST!B:B), "")</f>
        <v/>
      </c>
      <c r="D27">
        <f>IFERROR(XLOOKUP(B23, PRICE_LIST!A:A, PRICE_LIST!C:C), "")</f>
        <v/>
      </c>
      <c r="G27" s="4">
        <f>IFERROR(XLOOKUP(B23, PRICE_LIST!A:A, PRICE_LIST!D:D), 0)</f>
        <v/>
      </c>
      <c r="H27" s="4">
        <f>E23*G23</f>
        <v/>
      </c>
    </row>
    <row r="28">
      <c r="C28">
        <f>IFERROR(XLOOKUP(B24, PRICE_LIST!A:A, PRICE_LIST!B:B), "")</f>
        <v/>
      </c>
      <c r="D28">
        <f>IFERROR(XLOOKUP(B24, PRICE_LIST!A:A, PRICE_LIST!C:C), "")</f>
        <v/>
      </c>
      <c r="G28" s="4">
        <f>IFERROR(XLOOKUP(B24, PRICE_LIST!A:A, PRICE_LIST!D:D), 0)</f>
        <v/>
      </c>
      <c r="H28" s="4">
        <f>E24*G24</f>
        <v/>
      </c>
    </row>
    <row r="29">
      <c r="C29">
        <f>IFERROR(XLOOKUP(B25, PRICE_LIST!A:A, PRICE_LIST!B:B), "")</f>
        <v/>
      </c>
      <c r="D29">
        <f>IFERROR(XLOOKUP(B25, PRICE_LIST!A:A, PRICE_LIST!C:C), "")</f>
        <v/>
      </c>
      <c r="G29" s="4">
        <f>IFERROR(XLOOKUP(B25, PRICE_LIST!A:A, PRICE_LIST!D:D), 0)</f>
        <v/>
      </c>
      <c r="H29" s="4">
        <f>E25*G25</f>
        <v/>
      </c>
    </row>
    <row r="30">
      <c r="C30">
        <f>IFERROR(XLOOKUP(B26, PRICE_LIST!A:A, PRICE_LIST!B:B), "")</f>
        <v/>
      </c>
      <c r="D30">
        <f>IFERROR(XLOOKUP(B26, PRICE_LIST!A:A, PRICE_LIST!C:C), "")</f>
        <v/>
      </c>
      <c r="G30" s="4">
        <f>IFERROR(XLOOKUP(B26, PRICE_LIST!A:A, PRICE_LIST!D:D), 0)</f>
        <v/>
      </c>
      <c r="H30" s="4">
        <f>E26*G26</f>
        <v/>
      </c>
    </row>
    <row r="31">
      <c r="C31">
        <f>IFERROR(XLOOKUP(B27, PRICE_LIST!A:A, PRICE_LIST!B:B), "")</f>
        <v/>
      </c>
      <c r="D31">
        <f>IFERROR(XLOOKUP(B27, PRICE_LIST!A:A, PRICE_LIST!C:C), "")</f>
        <v/>
      </c>
      <c r="G31" s="4">
        <f>IFERROR(XLOOKUP(B27, PRICE_LIST!A:A, PRICE_LIST!D:D), 0)</f>
        <v/>
      </c>
      <c r="H31" s="4">
        <f>E27*G27</f>
        <v/>
      </c>
    </row>
    <row r="32">
      <c r="C32">
        <f>IFERROR(XLOOKUP(B28, PRICE_LIST!A:A, PRICE_LIST!B:B), "")</f>
        <v/>
      </c>
      <c r="D32">
        <f>IFERROR(XLOOKUP(B28, PRICE_LIST!A:A, PRICE_LIST!C:C), "")</f>
        <v/>
      </c>
      <c r="G32" s="4">
        <f>IFERROR(XLOOKUP(B28, PRICE_LIST!A:A, PRICE_LIST!D:D), 0)</f>
        <v/>
      </c>
      <c r="H32" s="4">
        <f>E28*G28</f>
        <v/>
      </c>
    </row>
    <row r="33">
      <c r="C33">
        <f>IFERROR(XLOOKUP(B29, PRICE_LIST!A:A, PRICE_LIST!B:B), "")</f>
        <v/>
      </c>
      <c r="D33">
        <f>IFERROR(XLOOKUP(B29, PRICE_LIST!A:A, PRICE_LIST!C:C), "")</f>
        <v/>
      </c>
      <c r="G33" s="4">
        <f>IFERROR(XLOOKUP(B29, PRICE_LIST!A:A, PRICE_LIST!D:D), 0)</f>
        <v/>
      </c>
      <c r="H33" s="4">
        <f>E29*G29</f>
        <v/>
      </c>
    </row>
    <row r="34">
      <c r="C34">
        <f>IFERROR(XLOOKUP(B30, PRICE_LIST!A:A, PRICE_LIST!B:B), "")</f>
        <v/>
      </c>
      <c r="D34">
        <f>IFERROR(XLOOKUP(B30, PRICE_LIST!A:A, PRICE_LIST!C:C), "")</f>
        <v/>
      </c>
      <c r="G34" s="4">
        <f>IFERROR(XLOOKUP(B30, PRICE_LIST!A:A, PRICE_LIST!D:D), 0)</f>
        <v/>
      </c>
      <c r="H34" s="4">
        <f>E30*G30</f>
        <v/>
      </c>
    </row>
    <row r="35">
      <c r="C35">
        <f>IFERROR(XLOOKUP(B31, PRICE_LIST!A:A, PRICE_LIST!B:B), "")</f>
        <v/>
      </c>
      <c r="D35">
        <f>IFERROR(XLOOKUP(B31, PRICE_LIST!A:A, PRICE_LIST!C:C), "")</f>
        <v/>
      </c>
      <c r="G35" s="4">
        <f>IFERROR(XLOOKUP(B31, PRICE_LIST!A:A, PRICE_LIST!D:D), 0)</f>
        <v/>
      </c>
      <c r="H35" s="4">
        <f>E31*G31</f>
        <v/>
      </c>
    </row>
    <row r="36">
      <c r="C36">
        <f>IFERROR(XLOOKUP(B32, PRICE_LIST!A:A, PRICE_LIST!B:B), "")</f>
        <v/>
      </c>
      <c r="D36">
        <f>IFERROR(XLOOKUP(B32, PRICE_LIST!A:A, PRICE_LIST!C:C), "")</f>
        <v/>
      </c>
      <c r="G36" s="4">
        <f>IFERROR(XLOOKUP(B32, PRICE_LIST!A:A, PRICE_LIST!D:D), 0)</f>
        <v/>
      </c>
      <c r="H36" s="4">
        <f>E32*G32</f>
        <v/>
      </c>
    </row>
    <row r="37">
      <c r="C37">
        <f>IFERROR(XLOOKUP(B33, PRICE_LIST!A:A, PRICE_LIST!B:B), "")</f>
        <v/>
      </c>
      <c r="D37">
        <f>IFERROR(XLOOKUP(B33, PRICE_LIST!A:A, PRICE_LIST!C:C), "")</f>
        <v/>
      </c>
      <c r="G37" s="4">
        <f>IFERROR(XLOOKUP(B33, PRICE_LIST!A:A, PRICE_LIST!D:D), 0)</f>
        <v/>
      </c>
      <c r="H37" s="4">
        <f>E33*G33</f>
        <v/>
      </c>
    </row>
    <row r="38">
      <c r="C38">
        <f>IFERROR(XLOOKUP(B34, PRICE_LIST!A:A, PRICE_LIST!B:B), "")</f>
        <v/>
      </c>
      <c r="D38">
        <f>IFERROR(XLOOKUP(B34, PRICE_LIST!A:A, PRICE_LIST!C:C), "")</f>
        <v/>
      </c>
      <c r="G38" s="4">
        <f>IFERROR(XLOOKUP(B34, PRICE_LIST!A:A, PRICE_LIST!D:D), 0)</f>
        <v/>
      </c>
      <c r="H38" s="4">
        <f>E34*G34</f>
        <v/>
      </c>
    </row>
    <row r="39">
      <c r="C39">
        <f>IFERROR(XLOOKUP(B35, PRICE_LIST!A:A, PRICE_LIST!B:B), "")</f>
        <v/>
      </c>
      <c r="D39">
        <f>IFERROR(XLOOKUP(B35, PRICE_LIST!A:A, PRICE_LIST!C:C), "")</f>
        <v/>
      </c>
      <c r="G39" s="4">
        <f>IFERROR(XLOOKUP(B35, PRICE_LIST!A:A, PRICE_LIST!D:D), 0)</f>
        <v/>
      </c>
      <c r="H39" s="4">
        <f>E35*G35</f>
        <v/>
      </c>
    </row>
    <row r="40">
      <c r="C40">
        <f>IFERROR(XLOOKUP(B36, PRICE_LIST!A:A, PRICE_LIST!B:B), "")</f>
        <v/>
      </c>
      <c r="D40">
        <f>IFERROR(XLOOKUP(B36, PRICE_LIST!A:A, PRICE_LIST!C:C), "")</f>
        <v/>
      </c>
      <c r="G40" s="4">
        <f>IFERROR(XLOOKUP(B36, PRICE_LIST!A:A, PRICE_LIST!D:D), 0)</f>
        <v/>
      </c>
      <c r="H40" s="4">
        <f>E36*G36</f>
        <v/>
      </c>
    </row>
    <row r="41">
      <c r="C41">
        <f>IFERROR(XLOOKUP(B37, PRICE_LIST!A:A, PRICE_LIST!B:B), "")</f>
        <v/>
      </c>
      <c r="D41">
        <f>IFERROR(XLOOKUP(B37, PRICE_LIST!A:A, PRICE_LIST!C:C), "")</f>
        <v/>
      </c>
      <c r="G41" s="4">
        <f>IFERROR(XLOOKUP(B37, PRICE_LIST!A:A, PRICE_LIST!D:D), 0)</f>
        <v/>
      </c>
      <c r="H41" s="4">
        <f>E37*G37</f>
        <v/>
      </c>
    </row>
    <row r="42">
      <c r="C42">
        <f>IFERROR(XLOOKUP(B38, PRICE_LIST!A:A, PRICE_LIST!B:B), "")</f>
        <v/>
      </c>
      <c r="D42">
        <f>IFERROR(XLOOKUP(B38, PRICE_LIST!A:A, PRICE_LIST!C:C), "")</f>
        <v/>
      </c>
      <c r="G42" s="4">
        <f>IFERROR(XLOOKUP(B38, PRICE_LIST!A:A, PRICE_LIST!D:D), 0)</f>
        <v/>
      </c>
      <c r="H42" s="4">
        <f>E38*G38</f>
        <v/>
      </c>
    </row>
    <row r="43">
      <c r="C43">
        <f>IFERROR(XLOOKUP(B39, PRICE_LIST!A:A, PRICE_LIST!B:B), "")</f>
        <v/>
      </c>
      <c r="D43">
        <f>IFERROR(XLOOKUP(B39, PRICE_LIST!A:A, PRICE_LIST!C:C), "")</f>
        <v/>
      </c>
      <c r="G43" s="4">
        <f>IFERROR(XLOOKUP(B39, PRICE_LIST!A:A, PRICE_LIST!D:D), 0)</f>
        <v/>
      </c>
      <c r="H43" s="4">
        <f>E39*G39</f>
        <v/>
      </c>
    </row>
    <row r="44">
      <c r="C44">
        <f>IFERROR(XLOOKUP(B40, PRICE_LIST!A:A, PRICE_LIST!B:B), "")</f>
        <v/>
      </c>
      <c r="D44">
        <f>IFERROR(XLOOKUP(B40, PRICE_LIST!A:A, PRICE_LIST!C:C), "")</f>
        <v/>
      </c>
      <c r="G44" s="4">
        <f>IFERROR(XLOOKUP(B40, PRICE_LIST!A:A, PRICE_LIST!D:D), 0)</f>
        <v/>
      </c>
      <c r="H44" s="4">
        <f>E40*G40</f>
        <v/>
      </c>
    </row>
    <row r="45">
      <c r="C45">
        <f>IFERROR(XLOOKUP(B41, PRICE_LIST!A:A, PRICE_LIST!B:B), "")</f>
        <v/>
      </c>
      <c r="D45">
        <f>IFERROR(XLOOKUP(B41, PRICE_LIST!A:A, PRICE_LIST!C:C), "")</f>
        <v/>
      </c>
      <c r="G45" s="4">
        <f>IFERROR(XLOOKUP(B41, PRICE_LIST!A:A, PRICE_LIST!D:D), 0)</f>
        <v/>
      </c>
      <c r="H45" s="4">
        <f>E41*G41</f>
        <v/>
      </c>
    </row>
    <row r="46">
      <c r="C46">
        <f>IFERROR(XLOOKUP(B42, PRICE_LIST!A:A, PRICE_LIST!B:B), "")</f>
        <v/>
      </c>
      <c r="D46">
        <f>IFERROR(XLOOKUP(B42, PRICE_LIST!A:A, PRICE_LIST!C:C), "")</f>
        <v/>
      </c>
      <c r="G46" s="4">
        <f>IFERROR(XLOOKUP(B42, PRICE_LIST!A:A, PRICE_LIST!D:D), 0)</f>
        <v/>
      </c>
      <c r="H46" s="4">
        <f>E42*G42</f>
        <v/>
      </c>
    </row>
    <row r="47">
      <c r="C47">
        <f>IFERROR(XLOOKUP(B43, PRICE_LIST!A:A, PRICE_LIST!B:B), "")</f>
        <v/>
      </c>
      <c r="D47">
        <f>IFERROR(XLOOKUP(B43, PRICE_LIST!A:A, PRICE_LIST!C:C), "")</f>
        <v/>
      </c>
      <c r="G47" s="4">
        <f>IFERROR(XLOOKUP(B43, PRICE_LIST!A:A, PRICE_LIST!D:D), 0)</f>
        <v/>
      </c>
      <c r="H47" s="4">
        <f>E43*G43</f>
        <v/>
      </c>
    </row>
    <row r="48">
      <c r="C48">
        <f>IFERROR(XLOOKUP(B44, PRICE_LIST!A:A, PRICE_LIST!B:B), "")</f>
        <v/>
      </c>
      <c r="D48">
        <f>IFERROR(XLOOKUP(B44, PRICE_LIST!A:A, PRICE_LIST!C:C), "")</f>
        <v/>
      </c>
      <c r="G48" s="4">
        <f>IFERROR(XLOOKUP(B44, PRICE_LIST!A:A, PRICE_LIST!D:D), 0)</f>
        <v/>
      </c>
      <c r="H48" s="4">
        <f>E44*G44</f>
        <v/>
      </c>
    </row>
    <row r="49">
      <c r="C49">
        <f>IFERROR(XLOOKUP(B45, PRICE_LIST!A:A, PRICE_LIST!B:B), "")</f>
        <v/>
      </c>
      <c r="D49">
        <f>IFERROR(XLOOKUP(B45, PRICE_LIST!A:A, PRICE_LIST!C:C), "")</f>
        <v/>
      </c>
      <c r="G49" s="4">
        <f>IFERROR(XLOOKUP(B45, PRICE_LIST!A:A, PRICE_LIST!D:D), 0)</f>
        <v/>
      </c>
      <c r="H49" s="4">
        <f>E45*G45</f>
        <v/>
      </c>
    </row>
    <row r="50">
      <c r="C50">
        <f>IFERROR(XLOOKUP(B46, PRICE_LIST!A:A, PRICE_LIST!B:B), "")</f>
        <v/>
      </c>
      <c r="D50">
        <f>IFERROR(XLOOKUP(B46, PRICE_LIST!A:A, PRICE_LIST!C:C), "")</f>
        <v/>
      </c>
      <c r="G50" s="4">
        <f>IFERROR(XLOOKUP(B46, PRICE_LIST!A:A, PRICE_LIST!D:D), 0)</f>
        <v/>
      </c>
      <c r="H50" s="4">
        <f>E46*G46</f>
        <v/>
      </c>
    </row>
    <row r="51">
      <c r="C51">
        <f>IFERROR(XLOOKUP(B47, PRICE_LIST!A:A, PRICE_LIST!B:B), "")</f>
        <v/>
      </c>
      <c r="D51">
        <f>IFERROR(XLOOKUP(B47, PRICE_LIST!A:A, PRICE_LIST!C:C), "")</f>
        <v/>
      </c>
      <c r="G51" s="4">
        <f>IFERROR(XLOOKUP(B47, PRICE_LIST!A:A, PRICE_LIST!D:D), 0)</f>
        <v/>
      </c>
      <c r="H51" s="4">
        <f>E47*G47</f>
        <v/>
      </c>
    </row>
    <row r="52">
      <c r="C52">
        <f>IFERROR(XLOOKUP(B48, PRICE_LIST!A:A, PRICE_LIST!B:B), "")</f>
        <v/>
      </c>
      <c r="D52">
        <f>IFERROR(XLOOKUP(B48, PRICE_LIST!A:A, PRICE_LIST!C:C), "")</f>
        <v/>
      </c>
      <c r="G52" s="4">
        <f>IFERROR(XLOOKUP(B48, PRICE_LIST!A:A, PRICE_LIST!D:D), 0)</f>
        <v/>
      </c>
      <c r="H52" s="4">
        <f>E48*G48</f>
        <v/>
      </c>
    </row>
    <row r="53">
      <c r="C53">
        <f>IFERROR(XLOOKUP(B49, PRICE_LIST!A:A, PRICE_LIST!B:B), "")</f>
        <v/>
      </c>
      <c r="D53">
        <f>IFERROR(XLOOKUP(B49, PRICE_LIST!A:A, PRICE_LIST!C:C), "")</f>
        <v/>
      </c>
      <c r="G53" s="4">
        <f>IFERROR(XLOOKUP(B49, PRICE_LIST!A:A, PRICE_LIST!D:D), 0)</f>
        <v/>
      </c>
      <c r="H53" s="4">
        <f>E49*G49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2026-05-06T22:09:40Z</dcterms:created>
  <dcterms:modified xsi:type="dcterms:W3CDTF">2026-05-06T22:09:40Z</dcterms:modified>
</cp:coreProperties>
</file>