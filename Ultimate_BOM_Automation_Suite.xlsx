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MASTER_BOM" sheetId="2" state="visible" r:id="rId2"/>
    <sheet xmlns:r="http://schemas.openxmlformats.org/officeDocument/2006/relationships" name="RECEIVING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Material Delivery Progress</a:t>
            </a:r>
          </a:p>
        </rich>
      </tx>
    </title>
    <plotArea>
      <pieChart>
        <varyColors val="1"/>
        <ser>
          <idx val="0"/>
          <order val="0"/>
          <tx>
            <strRef>
              <f>'MASTER_BOM'!H1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'MASTER_BOM'!$J$2:$J$7</f>
            </numRef>
          </cat>
          <val>
            <numRef>
              <f>'MASTER_BOM'!$H$2:$H$7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/>
    <row r="2">
      <c r="B2" s="1" t="inlineStr">
        <is>
          <t>?? PROJECT BOM &amp; MATERIAL PROGRESS TRACKER</t>
        </is>
      </c>
    </row>
    <row r="3"/>
    <row r="4">
      <c r="B4" t="inlineStr">
        <is>
          <t>TOTAL BOM VALUE:</t>
        </is>
      </c>
      <c r="C4" s="2">
        <f>SUM(MASTER_BOM!G2:G100)</f>
        <v/>
      </c>
    </row>
    <row r="5">
      <c r="B5" t="inlineStr">
        <is>
          <t>TOTAL RECEIVED VALUE:</t>
        </is>
      </c>
      <c r="C5" s="2">
        <f>SUMPRODUCT(MASTER_BOM!H2:H100, MASTER_BOM!E2:E100)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Part_ID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Qty_Ordered</t>
        </is>
      </c>
      <c r="E1" s="3" t="inlineStr">
        <is>
          <t>Unit_Cost</t>
        </is>
      </c>
      <c r="G1" s="3" t="inlineStr">
        <is>
          <t>Total_Cost</t>
        </is>
      </c>
      <c r="H1" s="3" t="inlineStr">
        <is>
          <t>Received_Qty</t>
        </is>
      </c>
      <c r="I1" s="3" t="inlineStr">
        <is>
          <t>Balance_Qty</t>
        </is>
      </c>
      <c r="J1" s="3" t="inlineStr">
        <is>
          <t>Status</t>
        </is>
      </c>
    </row>
    <row r="2">
      <c r="A2" t="inlineStr">
        <is>
          <t>ACT-001</t>
        </is>
      </c>
      <c r="B2" t="inlineStr">
        <is>
          <t>Core Switch</t>
        </is>
      </c>
      <c r="C2" t="inlineStr">
        <is>
          <t>Active</t>
        </is>
      </c>
      <c r="D2" t="n">
        <v>2</v>
      </c>
      <c r="E2" t="n">
        <v>5500</v>
      </c>
      <c r="G2">
        <f>D2*E2</f>
        <v/>
      </c>
      <c r="H2">
        <f>SUMIF(RECEIVING_LOG!$C$2:$C$100, A2, RECEIVING_LOG!$D$2:$D$100)</f>
        <v/>
      </c>
      <c r="I2">
        <f>D2-H2</f>
        <v/>
      </c>
      <c r="J2">
        <f>IF(I2&lt;=0, "? COMPLETE", IF(H2&gt;0, "? PARTIAL", "? PENDING"))</f>
        <v/>
      </c>
    </row>
    <row r="3">
      <c r="A3" t="inlineStr">
        <is>
          <t>ACT-002</t>
        </is>
      </c>
      <c r="B3" t="inlineStr">
        <is>
          <t>Edge Router</t>
        </is>
      </c>
      <c r="C3" t="inlineStr">
        <is>
          <t>Active</t>
        </is>
      </c>
      <c r="D3" t="n">
        <v>1</v>
      </c>
      <c r="E3" t="n">
        <v>3200</v>
      </c>
      <c r="G3">
        <f>D3*E3</f>
        <v/>
      </c>
      <c r="H3">
        <f>SUMIF(RECEIVING_LOG!$C$2:$C$100, A3, RECEIVING_LOG!$D$2:$D$100)</f>
        <v/>
      </c>
      <c r="I3">
        <f>D3-H3</f>
        <v/>
      </c>
      <c r="J3">
        <f>IF(I3&lt;=0, "? COMPLETE", IF(H3&gt;0, "? PARTIAL", "? PENDING"))</f>
        <v/>
      </c>
    </row>
    <row r="4">
      <c r="A4" t="inlineStr">
        <is>
          <t>PAS-001</t>
        </is>
      </c>
      <c r="B4" t="inlineStr">
        <is>
          <t>Cat6 Cable Box</t>
        </is>
      </c>
      <c r="C4" t="inlineStr">
        <is>
          <t>Passive</t>
        </is>
      </c>
      <c r="D4" t="n">
        <v>20</v>
      </c>
      <c r="E4" t="n">
        <v>185</v>
      </c>
      <c r="G4">
        <f>D4*E4</f>
        <v/>
      </c>
      <c r="H4">
        <f>SUMIF(RECEIVING_LOG!$C$2:$C$100, A4, RECEIVING_LOG!$D$2:$D$100)</f>
        <v/>
      </c>
      <c r="I4">
        <f>D4-H4</f>
        <v/>
      </c>
      <c r="J4">
        <f>IF(I4&lt;=0, "? COMPLETE", IF(H4&gt;0, "? PARTIAL", "? PENDING"))</f>
        <v/>
      </c>
    </row>
    <row r="5">
      <c r="A5" t="inlineStr">
        <is>
          <t>PAS-002</t>
        </is>
      </c>
      <c r="B5" t="inlineStr">
        <is>
          <t>Patch Panel</t>
        </is>
      </c>
      <c r="C5" t="inlineStr">
        <is>
          <t>Passive</t>
        </is>
      </c>
      <c r="D5" t="n">
        <v>10</v>
      </c>
      <c r="E5" t="n">
        <v>125</v>
      </c>
      <c r="G5">
        <f>D5*E5</f>
        <v/>
      </c>
      <c r="H5">
        <f>SUMIF(RECEIVING_LOG!$C$2:$C$100, A5, RECEIVING_LOG!$D$2:$D$100)</f>
        <v/>
      </c>
      <c r="I5">
        <f>D5-H5</f>
        <v/>
      </c>
      <c r="J5">
        <f>IF(I5&lt;=0, "? COMPLETE", IF(H5&gt;0, "? PARTIAL", "? PENDING"))</f>
        <v/>
      </c>
    </row>
    <row r="6">
      <c r="A6" t="inlineStr">
        <is>
          <t>PAS-003</t>
        </is>
      </c>
      <c r="B6" t="inlineStr">
        <is>
          <t>42U Rack</t>
        </is>
      </c>
      <c r="C6" t="inlineStr">
        <is>
          <t>Passive</t>
        </is>
      </c>
      <c r="D6" t="n">
        <v>2</v>
      </c>
      <c r="E6" t="n">
        <v>1450</v>
      </c>
      <c r="G6">
        <f>D6*E6</f>
        <v/>
      </c>
      <c r="H6">
        <f>SUMIF(RECEIVING_LOG!$C$2:$C$100, A6, RECEIVING_LOG!$D$2:$D$100)</f>
        <v/>
      </c>
      <c r="I6">
        <f>D6-H6</f>
        <v/>
      </c>
      <c r="J6">
        <f>IF(I6&lt;=0, "? COMPLETE", IF(H6&gt;0, "? PARTIAL", "? PENDING"))</f>
        <v/>
      </c>
    </row>
    <row r="7">
      <c r="A7" t="inlineStr">
        <is>
          <t>SVC-001</t>
        </is>
      </c>
      <c r="B7" t="inlineStr">
        <is>
          <t>Installation</t>
        </is>
      </c>
      <c r="C7" t="inlineStr">
        <is>
          <t>Services</t>
        </is>
      </c>
      <c r="D7" t="n">
        <v>1</v>
      </c>
      <c r="E7" t="n">
        <v>2500</v>
      </c>
      <c r="G7">
        <f>D7*E7</f>
        <v/>
      </c>
      <c r="H7">
        <f>SUMIF(RECEIVING_LOG!$C$2:$C$100, A7, RECEIVING_LOG!$D$2:$D$100)</f>
        <v/>
      </c>
      <c r="I7">
        <f>D7-H7</f>
        <v/>
      </c>
      <c r="J7">
        <f>IF(I7&lt;=0, "? COMPLETE", IF(H7&gt;0, "? PARTIAL", "? PENDING"))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Date</t>
        </is>
      </c>
      <c r="B1" s="3" t="inlineStr">
        <is>
          <t>DN_Number</t>
        </is>
      </c>
      <c r="C1" s="3" t="inlineStr">
        <is>
          <t>Part_ID</t>
        </is>
      </c>
      <c r="D1" s="3" t="inlineStr">
        <is>
          <t>Qty_Received</t>
        </is>
      </c>
      <c r="E1" s="3" t="inlineStr">
        <is>
          <t>Receiving_Engineer</t>
        </is>
      </c>
      <c r="F1" s="3" t="inlineStr">
        <is>
          <t>Condition</t>
        </is>
      </c>
      <c r="G1" s="3" t="inlineStr">
        <is>
          <t>Expected_Qty</t>
        </is>
      </c>
      <c r="H1" s="3" t="inlineStr">
        <is>
          <t>Discrepancy</t>
        </is>
      </c>
      <c r="I1" s="3" t="inlineStr">
        <is>
          <t>Alert</t>
        </is>
      </c>
    </row>
    <row r="2">
      <c r="A2" t="inlineStr">
        <is>
          <t>2026-05-01</t>
        </is>
      </c>
      <c r="B2" t="inlineStr">
        <is>
          <t>DN-9901</t>
        </is>
      </c>
      <c r="C2" t="inlineStr">
        <is>
          <t>ACT-001</t>
        </is>
      </c>
      <c r="D2" t="n">
        <v>2</v>
      </c>
      <c r="E2" t="inlineStr">
        <is>
          <t>Engr. Reyes</t>
        </is>
      </c>
      <c r="F2" t="inlineStr">
        <is>
          <t>Good</t>
        </is>
      </c>
      <c r="G2">
        <f>IFERROR(VLOOKUP(C2, MASTER_BOM!$A$2:$D$100, 4, FALSE), 0)</f>
        <v/>
      </c>
      <c r="H2">
        <f>G2-D2</f>
        <v/>
      </c>
      <c r="I2">
        <f>IF(H2&gt;0, "?? SHORTAGE", IF(H2&lt;0, "? EXCESS", "OK"))</f>
        <v/>
      </c>
    </row>
    <row r="3">
      <c r="A3" t="inlineStr">
        <is>
          <t>2026-05-02</t>
        </is>
      </c>
      <c r="B3" t="inlineStr">
        <is>
          <t>DN-9902</t>
        </is>
      </c>
      <c r="C3" t="inlineStr">
        <is>
          <t>PAS-001</t>
        </is>
      </c>
      <c r="D3" t="n">
        <v>18</v>
      </c>
      <c r="E3" t="inlineStr">
        <is>
          <t>Engr. Santos</t>
        </is>
      </c>
      <c r="F3" t="inlineStr">
        <is>
          <t>Box Damaged</t>
        </is>
      </c>
      <c r="G3">
        <f>IFERROR(VLOOKUP(C3, MASTER_BOM!$A$2:$D$100, 4, FALSE), 0)</f>
        <v/>
      </c>
      <c r="H3">
        <f>G3-D3</f>
        <v/>
      </c>
      <c r="I3">
        <f>IF(H3&gt;0, "?? SHORTAGE", IF(H3&lt;0, "? EXCESS", "OK"))</f>
        <v/>
      </c>
    </row>
    <row r="4">
      <c r="A4" t="inlineStr">
        <is>
          <t>2026-05-03</t>
        </is>
      </c>
      <c r="B4" t="inlineStr">
        <is>
          <t>DN-9903</t>
        </is>
      </c>
      <c r="C4" t="inlineStr">
        <is>
          <t>PAS-003</t>
        </is>
      </c>
      <c r="D4" t="n">
        <v>2</v>
      </c>
      <c r="E4" t="inlineStr">
        <is>
          <t>Engr. Reyes</t>
        </is>
      </c>
      <c r="F4" t="inlineStr">
        <is>
          <t>Good</t>
        </is>
      </c>
      <c r="G4">
        <f>IFERROR(VLOOKUP(C4, MASTER_BOM!$A$2:$D$100, 4, FALSE), 0)</f>
        <v/>
      </c>
      <c r="H4">
        <f>G4-D4</f>
        <v/>
      </c>
      <c r="I4">
        <f>IF(H4&gt;0, "?? SHORTAGE", IF(H4&lt;0, "? EXCESS", "OK"))</f>
        <v/>
      </c>
    </row>
    <row r="5">
      <c r="G5">
        <f>IFERROR(VLOOKUP(C5, MASTER_BOM!$A$2:$D$100, 4, FALSE), 0)</f>
        <v/>
      </c>
      <c r="H5">
        <f>G5-D5</f>
        <v/>
      </c>
      <c r="I5">
        <f>IF(H5&gt;0, "?? SHORTAGE", IF(H5&lt;0, "? EXCESS", "OK"))</f>
        <v/>
      </c>
    </row>
    <row r="6">
      <c r="G6">
        <f>IFERROR(VLOOKUP(C6, MASTER_BOM!$A$2:$D$100, 4, FALSE), 0)</f>
        <v/>
      </c>
      <c r="H6">
        <f>G6-D6</f>
        <v/>
      </c>
      <c r="I6">
        <f>IF(H6&gt;0, "?? SHORTAGE", IF(H6&lt;0, "? EXCESS", "OK"))</f>
        <v/>
      </c>
    </row>
    <row r="7">
      <c r="G7">
        <f>IFERROR(VLOOKUP(C7, MASTER_BOM!$A$2:$D$100, 4, FALSE), 0)</f>
        <v/>
      </c>
      <c r="H7">
        <f>G7-D7</f>
        <v/>
      </c>
      <c r="I7">
        <f>IF(H7&gt;0, "?? SHORTAGE", IF(H7&lt;0, "? EXCESS", "OK"))</f>
        <v/>
      </c>
    </row>
    <row r="8">
      <c r="G8">
        <f>IFERROR(VLOOKUP(C8, MASTER_BOM!$A$2:$D$100, 4, FALSE), 0)</f>
        <v/>
      </c>
      <c r="H8">
        <f>G8-D8</f>
        <v/>
      </c>
      <c r="I8">
        <f>IF(H8&gt;0, "?? SHORTAGE", IF(H8&lt;0, "? EXCESS", "OK"))</f>
        <v/>
      </c>
    </row>
    <row r="9">
      <c r="G9">
        <f>IFERROR(VLOOKUP(C9, MASTER_BOM!$A$2:$D$100, 4, FALSE), 0)</f>
        <v/>
      </c>
      <c r="H9">
        <f>G9-D9</f>
        <v/>
      </c>
      <c r="I9">
        <f>IF(H9&gt;0, "?? SHORTAGE", IF(H9&lt;0, "? EXCESS", "OK"))</f>
        <v/>
      </c>
    </row>
    <row r="10">
      <c r="G10">
        <f>IFERROR(VLOOKUP(C10, MASTER_BOM!$A$2:$D$100, 4, FALSE), 0)</f>
        <v/>
      </c>
      <c r="H10">
        <f>G10-D10</f>
        <v/>
      </c>
      <c r="I10">
        <f>IF(H10&gt;0, "?? SHORTAGE", IF(H10&lt;0, "? EXCESS", "OK"))</f>
        <v/>
      </c>
    </row>
    <row r="11">
      <c r="G11">
        <f>IFERROR(VLOOKUP(C11, MASTER_BOM!$A$2:$D$100, 4, FALSE), 0)</f>
        <v/>
      </c>
      <c r="H11">
        <f>G11-D11</f>
        <v/>
      </c>
      <c r="I11">
        <f>IF(H11&gt;0, "?? SHORTAGE", IF(H11&lt;0, "? EXCESS", "OK"))</f>
        <v/>
      </c>
    </row>
    <row r="12">
      <c r="G12">
        <f>IFERROR(VLOOKUP(C12, MASTER_BOM!$A$2:$D$100, 4, FALSE), 0)</f>
        <v/>
      </c>
      <c r="H12">
        <f>G12-D12</f>
        <v/>
      </c>
      <c r="I12">
        <f>IF(H12&gt;0, "?? SHORTAGE", IF(H12&lt;0, "? EXCESS", "OK"))</f>
        <v/>
      </c>
    </row>
    <row r="13">
      <c r="G13">
        <f>IFERROR(VLOOKUP(C13, MASTER_BOM!$A$2:$D$100, 4, FALSE), 0)</f>
        <v/>
      </c>
      <c r="H13">
        <f>G13-D13</f>
        <v/>
      </c>
      <c r="I13">
        <f>IF(H13&gt;0, "?? SHORTAGE", IF(H13&lt;0, "? EXCESS", "OK"))</f>
        <v/>
      </c>
    </row>
    <row r="14">
      <c r="G14">
        <f>IFERROR(VLOOKUP(C14, MASTER_BOM!$A$2:$D$100, 4, FALSE), 0)</f>
        <v/>
      </c>
      <c r="H14">
        <f>G14-D14</f>
        <v/>
      </c>
      <c r="I14">
        <f>IF(H14&gt;0, "?? SHORTAGE", IF(H14&lt;0, "? EXCESS", "OK"))</f>
        <v/>
      </c>
    </row>
    <row r="15">
      <c r="G15">
        <f>IFERROR(VLOOKUP(C15, MASTER_BOM!$A$2:$D$100, 4, FALSE), 0)</f>
        <v/>
      </c>
      <c r="H15">
        <f>G15-D15</f>
        <v/>
      </c>
      <c r="I15">
        <f>IF(H15&gt;0, "?? SHORTAGE", IF(H15&lt;0, "? EXCESS", "OK"))</f>
        <v/>
      </c>
    </row>
    <row r="16">
      <c r="G16">
        <f>IFERROR(VLOOKUP(C16, MASTER_BOM!$A$2:$D$100, 4, FALSE), 0)</f>
        <v/>
      </c>
      <c r="H16">
        <f>G16-D16</f>
        <v/>
      </c>
      <c r="I16">
        <f>IF(H16&gt;0, "?? SHORTAGE", IF(H16&lt;0, "? EXCESS", "OK"))</f>
        <v/>
      </c>
    </row>
    <row r="17">
      <c r="G17">
        <f>IFERROR(VLOOKUP(C17, MASTER_BOM!$A$2:$D$100, 4, FALSE), 0)</f>
        <v/>
      </c>
      <c r="H17">
        <f>G17-D17</f>
        <v/>
      </c>
      <c r="I17">
        <f>IF(H17&gt;0, "?? SHORTAGE", IF(H17&lt;0, "? EXCESS", "OK"))</f>
        <v/>
      </c>
    </row>
    <row r="18">
      <c r="G18">
        <f>IFERROR(VLOOKUP(C18, MASTER_BOM!$A$2:$D$100, 4, FALSE), 0)</f>
        <v/>
      </c>
      <c r="H18">
        <f>G18-D18</f>
        <v/>
      </c>
      <c r="I18">
        <f>IF(H18&gt;0, "?? SHORTAGE", IF(H18&lt;0, "? EXCESS", "OK"))</f>
        <v/>
      </c>
    </row>
    <row r="19">
      <c r="G19">
        <f>IFERROR(VLOOKUP(C19, MASTER_BOM!$A$2:$D$100, 4, FALSE), 0)</f>
        <v/>
      </c>
      <c r="H19">
        <f>G19-D19</f>
        <v/>
      </c>
      <c r="I19">
        <f>IF(H19&gt;0, "?? SHORTAGE", IF(H19&lt;0, "? EXCESS", "OK"))</f>
        <v/>
      </c>
    </row>
    <row r="20">
      <c r="G20">
        <f>IFERROR(VLOOKUP(C20, MASTER_BOM!$A$2:$D$100, 4, FALSE), 0)</f>
        <v/>
      </c>
      <c r="H20">
        <f>G20-D20</f>
        <v/>
      </c>
      <c r="I20">
        <f>IF(H20&gt;0, "?? SHORTAGE", IF(H20&lt;0, "? EXCESS", "OK"))</f>
        <v/>
      </c>
    </row>
    <row r="21">
      <c r="G21">
        <f>IFERROR(VLOOKUP(C21, MASTER_BOM!$A$2:$D$100, 4, FALSE), 0)</f>
        <v/>
      </c>
      <c r="H21">
        <f>G21-D21</f>
        <v/>
      </c>
      <c r="I21">
        <f>IF(H21&gt;0, "?? SHORTAGE", IF(H21&lt;0, "? EXCESS", "OK"))</f>
        <v/>
      </c>
    </row>
    <row r="22">
      <c r="G22">
        <f>IFERROR(VLOOKUP(C22, MASTER_BOM!$A$2:$D$100, 4, FALSE), 0)</f>
        <v/>
      </c>
      <c r="H22">
        <f>G22-D22</f>
        <v/>
      </c>
      <c r="I22">
        <f>IF(H22&gt;0, "?? SHORTAGE", IF(H22&lt;0, "? EXCESS", "OK"))</f>
        <v/>
      </c>
    </row>
    <row r="23">
      <c r="G23">
        <f>IFERROR(VLOOKUP(C23, MASTER_BOM!$A$2:$D$100, 4, FALSE), 0)</f>
        <v/>
      </c>
      <c r="H23">
        <f>G23-D23</f>
        <v/>
      </c>
      <c r="I23">
        <f>IF(H23&gt;0, "?? SHORTAGE", IF(H23&lt;0, "? EXCESS", "OK"))</f>
        <v/>
      </c>
    </row>
    <row r="24">
      <c r="G24">
        <f>IFERROR(VLOOKUP(C24, MASTER_BOM!$A$2:$D$100, 4, FALSE), 0)</f>
        <v/>
      </c>
      <c r="H24">
        <f>G24-D24</f>
        <v/>
      </c>
      <c r="I24">
        <f>IF(H24&gt;0, "?? SHORTAGE", IF(H24&lt;0, "? EXCESS", "OK"))</f>
        <v/>
      </c>
    </row>
    <row r="25">
      <c r="G25">
        <f>IFERROR(VLOOKUP(C25, MASTER_BOM!$A$2:$D$100, 4, FALSE), 0)</f>
        <v/>
      </c>
      <c r="H25">
        <f>G25-D25</f>
        <v/>
      </c>
      <c r="I25">
        <f>IF(H25&gt;0, "?? SHORTAGE", IF(H25&lt;0, "? EXCESS", "OK"))</f>
        <v/>
      </c>
    </row>
    <row r="26">
      <c r="G26">
        <f>IFERROR(VLOOKUP(C26, MASTER_BOM!$A$2:$D$100, 4, FALSE), 0)</f>
        <v/>
      </c>
      <c r="H26">
        <f>G26-D26</f>
        <v/>
      </c>
      <c r="I26">
        <f>IF(H26&gt;0, "?? SHORTAGE", IF(H26&lt;0, "? EXCESS", "OK"))</f>
        <v/>
      </c>
    </row>
    <row r="27">
      <c r="G27">
        <f>IFERROR(VLOOKUP(C27, MASTER_BOM!$A$2:$D$100, 4, FALSE), 0)</f>
        <v/>
      </c>
      <c r="H27">
        <f>G27-D27</f>
        <v/>
      </c>
      <c r="I27">
        <f>IF(H27&gt;0, "?? SHORTAGE", IF(H27&lt;0, "? EXCESS", "OK"))</f>
        <v/>
      </c>
    </row>
    <row r="28">
      <c r="G28">
        <f>IFERROR(VLOOKUP(C28, MASTER_BOM!$A$2:$D$100, 4, FALSE), 0)</f>
        <v/>
      </c>
      <c r="H28">
        <f>G28-D28</f>
        <v/>
      </c>
      <c r="I28">
        <f>IF(H28&gt;0, "?? SHORTAGE", IF(H28&lt;0, "? EXCESS", "OK"))</f>
        <v/>
      </c>
    </row>
    <row r="29">
      <c r="G29">
        <f>IFERROR(VLOOKUP(C29, MASTER_BOM!$A$2:$D$100, 4, FALSE), 0)</f>
        <v/>
      </c>
      <c r="H29">
        <f>G29-D29</f>
        <v/>
      </c>
      <c r="I29">
        <f>IF(H29&gt;0, "?? SHORTAGE", IF(H29&lt;0, "? EXCESS", "OK"))</f>
        <v/>
      </c>
    </row>
    <row r="30">
      <c r="G30">
        <f>IFERROR(VLOOKUP(C30, MASTER_BOM!$A$2:$D$100, 4, FALSE), 0)</f>
        <v/>
      </c>
      <c r="H30">
        <f>G30-D30</f>
        <v/>
      </c>
      <c r="I30">
        <f>IF(H30&gt;0, "?? SHORTAGE", IF(H30&lt;0, "? EXCESS", "OK"))</f>
        <v/>
      </c>
    </row>
    <row r="31">
      <c r="G31">
        <f>IFERROR(VLOOKUP(C31, MASTER_BOM!$A$2:$D$100, 4, FALSE), 0)</f>
        <v/>
      </c>
      <c r="H31">
        <f>G31-D31</f>
        <v/>
      </c>
      <c r="I31">
        <f>IF(H31&gt;0, "?? SHORTAGE", IF(H31&lt;0, "? EXCESS", "OK"))</f>
        <v/>
      </c>
    </row>
    <row r="32">
      <c r="G32">
        <f>IFERROR(VLOOKUP(C32, MASTER_BOM!$A$2:$D$100, 4, FALSE), 0)</f>
        <v/>
      </c>
      <c r="H32">
        <f>G32-D32</f>
        <v/>
      </c>
      <c r="I32">
        <f>IF(H32&gt;0, "?? SHORTAGE", IF(H32&lt;0, "? EXCESS", "OK"))</f>
        <v/>
      </c>
    </row>
    <row r="33">
      <c r="G33">
        <f>IFERROR(VLOOKUP(C33, MASTER_BOM!$A$2:$D$100, 4, FALSE), 0)</f>
        <v/>
      </c>
      <c r="H33">
        <f>G33-D33</f>
        <v/>
      </c>
      <c r="I33">
        <f>IF(H33&gt;0, "?? SHORTAGE", IF(H33&lt;0, "? EXCESS", "OK"))</f>
        <v/>
      </c>
    </row>
    <row r="34">
      <c r="G34">
        <f>IFERROR(VLOOKUP(C34, MASTER_BOM!$A$2:$D$100, 4, FALSE), 0)</f>
        <v/>
      </c>
      <c r="H34">
        <f>G34-D34</f>
        <v/>
      </c>
      <c r="I34">
        <f>IF(H34&gt;0, "?? SHORTAGE", IF(H34&lt;0, "? EXCESS", "OK"))</f>
        <v/>
      </c>
    </row>
    <row r="35">
      <c r="G35">
        <f>IFERROR(VLOOKUP(C35, MASTER_BOM!$A$2:$D$100, 4, FALSE), 0)</f>
        <v/>
      </c>
      <c r="H35">
        <f>G35-D35</f>
        <v/>
      </c>
      <c r="I35">
        <f>IF(H35&gt;0, "?? SHORTAGE", IF(H35&lt;0, "? EXCESS", "OK"))</f>
        <v/>
      </c>
    </row>
    <row r="36">
      <c r="G36">
        <f>IFERROR(VLOOKUP(C36, MASTER_BOM!$A$2:$D$100, 4, FALSE), 0)</f>
        <v/>
      </c>
      <c r="H36">
        <f>G36-D36</f>
        <v/>
      </c>
      <c r="I36">
        <f>IF(H36&gt;0, "?? SHORTAGE", IF(H36&lt;0, "? EXCESS", "OK"))</f>
        <v/>
      </c>
    </row>
    <row r="37">
      <c r="G37">
        <f>IFERROR(VLOOKUP(C37, MASTER_BOM!$A$2:$D$100, 4, FALSE), 0)</f>
        <v/>
      </c>
      <c r="H37">
        <f>G37-D37</f>
        <v/>
      </c>
      <c r="I37">
        <f>IF(H37&gt;0, "?? SHORTAGE", IF(H37&lt;0, "? EXCESS", "OK"))</f>
        <v/>
      </c>
    </row>
    <row r="38">
      <c r="G38">
        <f>IFERROR(VLOOKUP(C38, MASTER_BOM!$A$2:$D$100, 4, FALSE), 0)</f>
        <v/>
      </c>
      <c r="H38">
        <f>G38-D38</f>
        <v/>
      </c>
      <c r="I38">
        <f>IF(H38&gt;0, "?? SHORTAGE", IF(H38&lt;0, "? EXCESS", "OK"))</f>
        <v/>
      </c>
    </row>
    <row r="39">
      <c r="G39">
        <f>IFERROR(VLOOKUP(C39, MASTER_BOM!$A$2:$D$100, 4, FALSE), 0)</f>
        <v/>
      </c>
      <c r="H39">
        <f>G39-D39</f>
        <v/>
      </c>
      <c r="I39">
        <f>IF(H39&gt;0, "?? SHORTAGE", IF(H39&lt;0, "? EXCESS", "OK"))</f>
        <v/>
      </c>
    </row>
    <row r="40">
      <c r="G40">
        <f>IFERROR(VLOOKUP(C40, MASTER_BOM!$A$2:$D$100, 4, FALSE), 0)</f>
        <v/>
      </c>
      <c r="H40">
        <f>G40-D40</f>
        <v/>
      </c>
      <c r="I40">
        <f>IF(H40&gt;0, "?? SHORTAGE", IF(H40&lt;0, "? EXCESS", "OK"))</f>
        <v/>
      </c>
    </row>
    <row r="41">
      <c r="G41">
        <f>IFERROR(VLOOKUP(C41, MASTER_BOM!$A$2:$D$100, 4, FALSE), 0)</f>
        <v/>
      </c>
      <c r="H41">
        <f>G41-D41</f>
        <v/>
      </c>
      <c r="I41">
        <f>IF(H41&gt;0, "?? SHORTAGE", IF(H41&lt;0, "? EXCESS", "OK"))</f>
        <v/>
      </c>
    </row>
    <row r="42">
      <c r="G42">
        <f>IFERROR(VLOOKUP(C42, MASTER_BOM!$A$2:$D$100, 4, FALSE), 0)</f>
        <v/>
      </c>
      <c r="H42">
        <f>G42-D42</f>
        <v/>
      </c>
      <c r="I42">
        <f>IF(H42&gt;0, "?? SHORTAGE", IF(H42&lt;0, "? EXCESS", "OK"))</f>
        <v/>
      </c>
    </row>
    <row r="43">
      <c r="G43">
        <f>IFERROR(VLOOKUP(C43, MASTER_BOM!$A$2:$D$100, 4, FALSE), 0)</f>
        <v/>
      </c>
      <c r="H43">
        <f>G43-D43</f>
        <v/>
      </c>
      <c r="I43">
        <f>IF(H43&gt;0, "?? SHORTAGE", IF(H43&lt;0, "? EXCESS", "OK"))</f>
        <v/>
      </c>
    </row>
    <row r="44">
      <c r="G44">
        <f>IFERROR(VLOOKUP(C44, MASTER_BOM!$A$2:$D$100, 4, FALSE), 0)</f>
        <v/>
      </c>
      <c r="H44">
        <f>G44-D44</f>
        <v/>
      </c>
      <c r="I44">
        <f>IF(H44&gt;0, "?? SHORTAGE", IF(H44&lt;0, "? EXCESS", "OK"))</f>
        <v/>
      </c>
    </row>
    <row r="45">
      <c r="G45">
        <f>IFERROR(VLOOKUP(C45, MASTER_BOM!$A$2:$D$100, 4, FALSE), 0)</f>
        <v/>
      </c>
      <c r="H45">
        <f>G45-D45</f>
        <v/>
      </c>
      <c r="I45">
        <f>IF(H45&gt;0, "?? SHORTAGE", IF(H45&lt;0, "? EXCESS", "OK"))</f>
        <v/>
      </c>
    </row>
    <row r="46">
      <c r="G46">
        <f>IFERROR(VLOOKUP(C46, MASTER_BOM!$A$2:$D$100, 4, FALSE), 0)</f>
        <v/>
      </c>
      <c r="H46">
        <f>G46-D46</f>
        <v/>
      </c>
      <c r="I46">
        <f>IF(H46&gt;0, "?? SHORTAGE", IF(H46&lt;0, "? EXCESS", "OK"))</f>
        <v/>
      </c>
    </row>
    <row r="47">
      <c r="G47">
        <f>IFERROR(VLOOKUP(C47, MASTER_BOM!$A$2:$D$100, 4, FALSE), 0)</f>
        <v/>
      </c>
      <c r="H47">
        <f>G47-D47</f>
        <v/>
      </c>
      <c r="I47">
        <f>IF(H47&gt;0, "?? SHORTAGE", IF(H47&lt;0, "? EXCESS", "OK"))</f>
        <v/>
      </c>
    </row>
    <row r="48">
      <c r="G48">
        <f>IFERROR(VLOOKUP(C48, MASTER_BOM!$A$2:$D$100, 4, FALSE), 0)</f>
        <v/>
      </c>
      <c r="H48">
        <f>G48-D48</f>
        <v/>
      </c>
      <c r="I48">
        <f>IF(H48&gt;0, "?? SHORTAGE", IF(H48&lt;0, "? EXCESS", "OK"))</f>
        <v/>
      </c>
    </row>
    <row r="49">
      <c r="G49">
        <f>IFERROR(VLOOKUP(C49, MASTER_BOM!$A$2:$D$100, 4, FALSE), 0)</f>
        <v/>
      </c>
      <c r="H49">
        <f>G49-D49</f>
        <v/>
      </c>
      <c r="I49">
        <f>IF(H49&gt;0, "?? SHORTAGE", IF(H49&lt;0, "? EXCESS", "OK"))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2026-05-21T21:59:14Z</dcterms:created>
  <dcterms:modified xmlns:dcterms="http://purl.org/dc/terms/" xmlns:xsi="http://www.w3.org/2001/XMLSchema-instance" xsi:type="dcterms:W3CDTF">2026-05-21T21:59:14Z</dcterms:modified>
</cp:coreProperties>
</file>